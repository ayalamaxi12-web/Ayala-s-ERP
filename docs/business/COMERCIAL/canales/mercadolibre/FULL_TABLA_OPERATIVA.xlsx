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FULL" sheetId="2" state="visible" r:id="rId4"/>
    <sheet name="COLUMNAS" sheetId="3" state="visible" r:id="rId5"/>
  </sheets>
  <definedNames>
    <definedName function="false" hidden="true" localSheetId="1" name="_xlnm._FilterDatabase" vbProcedure="false">FULL!$A$6:$AL$128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<sst xmlns="http://schemas.openxmlformats.org/spreadsheetml/2006/main" count="1103" uniqueCount="660">
  <si>
    <t xml:space="preserve">FULL — RESUMEN</t>
  </si>
  <si>
    <t xml:space="preserve">Se calcula solo desde la hoja FULL.</t>
  </si>
  <si>
    <t xml:space="preserve">ALERTA</t>
  </si>
  <si>
    <t xml:space="preserve">SKUs</t>
  </si>
  <si>
    <t xml:space="preserve">Unid. en Full</t>
  </si>
  <si>
    <t xml:space="preserve">Falta enviar</t>
  </si>
  <si>
    <t xml:space="preserve">Se puede enviar</t>
  </si>
  <si>
    <t xml:space="preserve">QUIEBRE Y SIN STOCK PARA ENVIAR</t>
  </si>
  <si>
    <t xml:space="preserve">QUIEBRE</t>
  </si>
  <si>
    <t xml:space="preserve">REPONER</t>
  </si>
  <si>
    <t xml:space="preserve">EN RANGO</t>
  </si>
  <si>
    <t xml:space="preserve">SOBRE-STOCK</t>
  </si>
  <si>
    <t xml:space="preserve">SIN ROTACION</t>
  </si>
  <si>
    <t xml:space="preserve">STOCK VIEJO EN RIESGO</t>
  </si>
  <si>
    <t xml:space="preserve">SIN STOCK SIN DEMANDA</t>
  </si>
  <si>
    <t xml:space="preserve">-</t>
  </si>
  <si>
    <t xml:space="preserve">TOTAL</t>
  </si>
  <si>
    <t xml:space="preserve">CONFIABILIDAD DEL DATO</t>
  </si>
  <si>
    <t xml:space="preserve">SKUs con dato censurado</t>
  </si>
  <si>
    <t xml:space="preserve">SKUs con dato confiable</t>
  </si>
  <si>
    <t xml:space="preserve">SKUs sin ventas en el período</t>
  </si>
  <si>
    <t xml:space="preserve">Ventas diarias según reporte mensual</t>
  </si>
  <si>
    <t xml:space="preserve">u/día</t>
  </si>
  <si>
    <t xml:space="preserve">Ventas diarias corregidas</t>
  </si>
  <si>
    <t xml:space="preserve">Cuánto subestima el reporte</t>
  </si>
  <si>
    <t xml:space="preserve">veces</t>
  </si>
  <si>
    <t xml:space="preserve">ENVÍO</t>
  </si>
  <si>
    <t xml:space="preserve">Falta enviar (total)</t>
  </si>
  <si>
    <t xml:space="preserve">u</t>
  </si>
  <si>
    <t xml:space="preserve">Se puede enviar con stock Táctica+ECOM</t>
  </si>
  <si>
    <t xml:space="preserve">No se puede cubrir por falta de stock propio</t>
  </si>
  <si>
    <t xml:space="preserve">SKUs en cero en Full y sin stock para enviar</t>
  </si>
  <si>
    <t xml:space="preserve">COSTO DEL MES</t>
  </si>
  <si>
    <t xml:space="preserve">Servicio de almacenamiento (30/06 al 29/07)</t>
  </si>
  <si>
    <t xml:space="preserve">Cargo por stock antiguo</t>
  </si>
  <si>
    <t xml:space="preserve">Total</t>
  </si>
  <si>
    <t xml:space="preserve">LÍMITE DE LOS 180 DÍAS</t>
  </si>
  <si>
    <t xml:space="preserve">Unidades en franja 4-6 meses</t>
  </si>
  <si>
    <t xml:space="preserve">Aumento total si todas cruzaran</t>
  </si>
  <si>
    <t xml:space="preserve">Solo las marcadas STOCK VIEJO EN RIESGO — unidades</t>
  </si>
  <si>
    <t xml:space="preserve">Solo las marcadas STOCK VIEJO EN RIESGO — aumento</t>
  </si>
  <si>
    <t xml:space="preserve">VALOR</t>
  </si>
  <si>
    <t xml:space="preserve">Unidades en Full</t>
  </si>
  <si>
    <t xml:space="preserve">Valor del stock en Full</t>
  </si>
  <si>
    <t xml:space="preserve">SKUs sin costo cargado</t>
  </si>
  <si>
    <t xml:space="preserve">FULL — TABLA OPERATIVA</t>
  </si>
  <si>
    <t xml:space="preserve">Cuenta IT (115764017) · Ventas: 32 días al 11/08/2026 · Stock Full y cargos al 11/08/2026 · Stock Táctica/ECOM al 03/08/2026</t>
  </si>
  <si>
    <t xml:space="preserve">Semanas objetivo</t>
  </si>
  <si>
    <t xml:space="preserve">Días del período de ventas</t>
  </si>
  <si>
    <t xml:space="preserve">Fecha de corte</t>
  </si>
  <si>
    <t xml:space="preserve">Cargo unidad 4-6 meses</t>
  </si>
  <si>
    <t xml:space="preserve">Cargo unidad +6 meses</t>
  </si>
  <si>
    <t xml:space="preserve">PARA ARMAR EL ENVÍO</t>
  </si>
  <si>
    <t xml:space="preserve">CONTROL DE LA PUBLICACIÓN</t>
  </si>
  <si>
    <t xml:space="preserve">CÓMO SE MIDIÓ LA DEMANDA</t>
  </si>
  <si>
    <t xml:space="preserve">CUÁNDO SE QUIEBRA</t>
  </si>
  <si>
    <t xml:space="preserve">ANTIGÜEDAD Y CARGOS</t>
  </si>
  <si>
    <t xml:space="preserve">ESTADO</t>
  </si>
  <si>
    <t xml:space="preserve">Cuenta</t>
  </si>
  <si>
    <t xml:space="preserve">Código ML</t>
  </si>
  <si>
    <t xml:space="preserve">SKU</t>
  </si>
  <si>
    <t xml:space="preserve">MLA (publicación)</t>
  </si>
  <si>
    <t xml:space="preserve">Título</t>
  </si>
  <si>
    <t xml:space="preserve">Stock en Full</t>
  </si>
  <si>
    <t xml:space="preserve">Envíos pendientes</t>
  </si>
  <si>
    <t xml:space="preserve">Ventas 30 días</t>
  </si>
  <si>
    <t xml:space="preserve">Ventas diarias simple</t>
  </si>
  <si>
    <t xml:space="preserve">Ventas diarias corregida</t>
  </si>
  <si>
    <t xml:space="preserve">Stock objetivo (semanas)</t>
  </si>
  <si>
    <t xml:space="preserve">Stock Táctica</t>
  </si>
  <si>
    <t xml:space="preserve">Stock ECOM</t>
  </si>
  <si>
    <t xml:space="preserve">Disponible T+E</t>
  </si>
  <si>
    <t xml:space="preserve">ENVIAR POSIBLE</t>
  </si>
  <si>
    <t xml:space="preserve">Estado publicación</t>
  </si>
  <si>
    <t xml:space="preserve">Publ.</t>
  </si>
  <si>
    <t xml:space="preserve">Tamaño</t>
  </si>
  <si>
    <t xml:space="preserve">Unidades 32d</t>
  </si>
  <si>
    <t xml:space="preserve">Días con venta</t>
  </si>
  <si>
    <t xml:space="preserve">Ventana con stock</t>
  </si>
  <si>
    <t xml:space="preserve">Días sin vender</t>
  </si>
  <si>
    <t xml:space="preserve">Stock prom 30d ML</t>
  </si>
  <si>
    <t xml:space="preserve">Rotación</t>
  </si>
  <si>
    <t xml:space="preserve">Estado del dato</t>
  </si>
  <si>
    <t xml:space="preserve">Factor</t>
  </si>
  <si>
    <t xml:space="preserve">Cobertura (días)</t>
  </si>
  <si>
    <t xml:space="preserve">Quiebre estimado</t>
  </si>
  <si>
    <t xml:space="preserve">No aptas</t>
  </si>
  <si>
    <t xml:space="preserve">Antigüedad máx</t>
  </si>
  <si>
    <t xml:space="preserve">Unid. 4-6 meses</t>
  </si>
  <si>
    <t xml:space="preserve">Días al límite 180</t>
  </si>
  <si>
    <t xml:space="preserve">Cargo actual</t>
  </si>
  <si>
    <t xml:space="preserve">Aumento si cruza</t>
  </si>
  <si>
    <t xml:space="preserve">Costo USD</t>
  </si>
  <si>
    <t xml:space="preserve">Valor en Full USD</t>
  </si>
  <si>
    <t xml:space="preserve">IT</t>
  </si>
  <si>
    <t xml:space="preserve">TNSC93322</t>
  </si>
  <si>
    <t xml:space="preserve">CB435A-436A-CE285AUNIVCOMP</t>
  </si>
  <si>
    <t xml:space="preserve">616880448</t>
  </si>
  <si>
    <t xml:space="preserve">Toner Alternativo Para  Cb436a 435a 36a P1505 M1120 M1522 Negro</t>
  </si>
  <si>
    <t xml:space="preserve">Activa</t>
  </si>
  <si>
    <t xml:space="preserve">Mediano</t>
  </si>
  <si>
    <t xml:space="preserve">WRRA16826</t>
  </si>
  <si>
    <t xml:space="preserve">MLTD111SCOMPV2</t>
  </si>
  <si>
    <t xml:space="preserve">1431106425 | 630220607</t>
  </si>
  <si>
    <t xml:space="preserve">Toner Alternativo Para Samsung D111 M2020w 2020 M2070w 2070w Negro</t>
  </si>
  <si>
    <t xml:space="preserve">DUHF44843</t>
  </si>
  <si>
    <t xml:space="preserve">CF217ACOMP</t>
  </si>
  <si>
    <t xml:space="preserve">751602895</t>
  </si>
  <si>
    <t xml:space="preserve">Toner Alternativo Para Cf217a M102 M130 217a 17a Con Chip Negro/tricolor Impreso</t>
  </si>
  <si>
    <t xml:space="preserve">OJMY16755</t>
  </si>
  <si>
    <t xml:space="preserve">CF279ACOMP</t>
  </si>
  <si>
    <t xml:space="preserve">762970302</t>
  </si>
  <si>
    <t xml:space="preserve">Toner Alternativo M12w M12 12w M26nw M12a M26 Cf279 79a 279a Negro</t>
  </si>
  <si>
    <t xml:space="preserve">XACN86724</t>
  </si>
  <si>
    <t xml:space="preserve">Q2612ACOMP</t>
  </si>
  <si>
    <t xml:space="preserve">1457999139</t>
  </si>
  <si>
    <t xml:space="preserve">Tóner Compatible Con Hp 2612a Para 1010 1012 1015 1018 - Rendimiendo De 2000 Pág</t>
  </si>
  <si>
    <t xml:space="preserve">LRKS64658</t>
  </si>
  <si>
    <t xml:space="preserve">LAM-ROLL-M-330MM-150MTS-32MIC</t>
  </si>
  <si>
    <t xml:space="preserve">810844083</t>
  </si>
  <si>
    <t xml:space="preserve">Rollo Para Laminar Mate 32 Micrones 330 Mm 150 Metros</t>
  </si>
  <si>
    <t xml:space="preserve">GKVM85194</t>
  </si>
  <si>
    <t xml:space="preserve">MLTD101SCOMP</t>
  </si>
  <si>
    <t xml:space="preserve">929612123</t>
  </si>
  <si>
    <t xml:space="preserve">Toner Alternativo Para 101 Mlt D101l  Ml 2165w 1500k Negro</t>
  </si>
  <si>
    <t xml:space="preserve">TGMU01761</t>
  </si>
  <si>
    <t xml:space="preserve">CIZALLA-A4-12EN1</t>
  </si>
  <si>
    <t xml:space="preserve">1475792185 | 2384987536</t>
  </si>
  <si>
    <t xml:space="preserve">Guillotina Rotativa Cizalla Corta Papel A4 300mm 12 En 1</t>
  </si>
  <si>
    <t xml:space="preserve">VTUA74073</t>
  </si>
  <si>
    <t xml:space="preserve">PLANCHA-SUB-PORTATIL</t>
  </si>
  <si>
    <t xml:space="preserve">2091207644 | 3655836976</t>
  </si>
  <si>
    <t xml:space="preserve">Estampadora Textil Portátil 10.5 Cm Blanco</t>
  </si>
  <si>
    <t xml:space="preserve">Pequeño</t>
  </si>
  <si>
    <t xml:space="preserve">GZFD15414</t>
  </si>
  <si>
    <t xml:space="preserve">X2 CB435A-436A-CE285AUNIVCOMP</t>
  </si>
  <si>
    <t xml:space="preserve">2693713220 | 606715836</t>
  </si>
  <si>
    <t xml:space="preserve">Toner Alternativo Para  285a 435a 436a 1102w 1102 Pack X 2 Negro</t>
  </si>
  <si>
    <t xml:space="preserve">ESMW22207</t>
  </si>
  <si>
    <t xml:space="preserve">EMERLIGHT-30LED</t>
  </si>
  <si>
    <t xml:space="preserve">1607486745</t>
  </si>
  <si>
    <t xml:space="preserve">Luces Luz De Emergencia 30 Leds Bateria Recargable Seguridad - Marca Global Elec</t>
  </si>
  <si>
    <t xml:space="preserve">YAEM28869</t>
  </si>
  <si>
    <t xml:space="preserve">CUTTERCIRCLE</t>
  </si>
  <si>
    <t xml:space="preserve">2000771898</t>
  </si>
  <si>
    <t xml:space="preserve">Cutter Compas Cortante Circular De 100 A 320 Mm</t>
  </si>
  <si>
    <t xml:space="preserve">HLNI07986</t>
  </si>
  <si>
    <t xml:space="preserve">CABLETYPEC1MW</t>
  </si>
  <si>
    <t xml:space="preserve">1144172936 | 2524776910</t>
  </si>
  <si>
    <t xml:space="preserve">Cable Usb Para Carga Y Datos Tipo C De 1 Mt Blanco</t>
  </si>
  <si>
    <t xml:space="preserve">RFFM10562</t>
  </si>
  <si>
    <t xml:space="preserve">TVS-ARM-14-42I-200X200-V3</t>
  </si>
  <si>
    <t xml:space="preserve">2094731522</t>
  </si>
  <si>
    <t xml:space="preserve">Soporte Tv Led Lcd Móvil Largo Simple De 14 A 42 Pulgadas Negro</t>
  </si>
  <si>
    <t xml:space="preserve">EYBK93102</t>
  </si>
  <si>
    <t xml:space="preserve">CUTTERROTA-45MM</t>
  </si>
  <si>
    <t xml:space="preserve">2012428570 | 2683194688</t>
  </si>
  <si>
    <t xml:space="preserve">Cutter Rotativo De 45mm De Diámetro Para Corte Recto</t>
  </si>
  <si>
    <t xml:space="preserve">LKLY99491</t>
  </si>
  <si>
    <t xml:space="preserve">PAPERDFG220A4-20</t>
  </si>
  <si>
    <t xml:space="preserve">1827462704</t>
  </si>
  <si>
    <t xml:space="preserve">Papel Doble Faz Glossy A4  220 Grs Pack X20 Hojas Blanco</t>
  </si>
  <si>
    <t xml:space="preserve">PDOM19535</t>
  </si>
  <si>
    <t xml:space="preserve">TVS-ARM-14-42I-200X200</t>
  </si>
  <si>
    <t xml:space="preserve">1458409112</t>
  </si>
  <si>
    <t xml:space="preserve">Soporte Global Tvs-arm-14-42i-200x200 Tv Led Lcd Con Brazo Vesa 200x200 Color Ne</t>
  </si>
  <si>
    <t xml:space="preserve">FBAY21200</t>
  </si>
  <si>
    <t xml:space="preserve">MLTD111LCOMPV2</t>
  </si>
  <si>
    <t xml:space="preserve">612395687</t>
  </si>
  <si>
    <t xml:space="preserve">Toner Alternativo Para Samsung 111l Mlt D111l M2020w M2070w Negro</t>
  </si>
  <si>
    <t xml:space="preserve">COCF22823</t>
  </si>
  <si>
    <t xml:space="preserve">X2 EMERLIGHT-30LED</t>
  </si>
  <si>
    <t xml:space="preserve">1607512661</t>
  </si>
  <si>
    <t xml:space="preserve">Pack De 2 Luces Luz De Emergencia 30 Leds Bateria Recargable Seguridad - Marca G</t>
  </si>
  <si>
    <t xml:space="preserve">GEQW17118</t>
  </si>
  <si>
    <t xml:space="preserve">CF230ACOMP</t>
  </si>
  <si>
    <t xml:space="preserve">708048237</t>
  </si>
  <si>
    <t xml:space="preserve">Toner Alternativo Para Cf 230a M203dn M227fdw Con Chip Negro</t>
  </si>
  <si>
    <t xml:space="preserve">UIUW05655</t>
  </si>
  <si>
    <t xml:space="preserve">408161COMP</t>
  </si>
  <si>
    <t xml:space="preserve">1431642515 | 719603965</t>
  </si>
  <si>
    <t xml:space="preserve">Toner Alternativo Para Ricoh 408161 Sp377dnwx 377sfnwx Negro</t>
  </si>
  <si>
    <t xml:space="preserve">WIZE38075</t>
  </si>
  <si>
    <t xml:space="preserve">CALCU-12D-1200V</t>
  </si>
  <si>
    <t xml:space="preserve">1420753775 | 826774371</t>
  </si>
  <si>
    <t xml:space="preserve">Calculadora Global 12 Digitos, Mod. 1200v Metalizada Metalizado</t>
  </si>
  <si>
    <t xml:space="preserve">FZLX96684</t>
  </si>
  <si>
    <t xml:space="preserve">PROJS-ARM-UNIV-430-650MM</t>
  </si>
  <si>
    <t xml:space="preserve">1377104819 | 1611159705</t>
  </si>
  <si>
    <t xml:space="preserve">Soporte Proyector Universal Brazo Extensible De 430 A 650mm Blanco</t>
  </si>
  <si>
    <t xml:space="preserve">KNPR20887</t>
  </si>
  <si>
    <t xml:space="preserve">TN450COMP</t>
  </si>
  <si>
    <t xml:space="preserve">628912421</t>
  </si>
  <si>
    <t xml:space="preserve">Toner Alternativo Para Brother Tn410 Tn450 Hl 2130 Dcp 7055</t>
  </si>
  <si>
    <t xml:space="preserve">Inactiva</t>
  </si>
  <si>
    <t xml:space="preserve">NJLU22691</t>
  </si>
  <si>
    <t xml:space="preserve">TSHIRTGUIDERULE-AIO</t>
  </si>
  <si>
    <t xml:space="preserve">1480466439</t>
  </si>
  <si>
    <t xml:space="preserve">Regla Guía Para Centrar Sublimación De Remeras</t>
  </si>
  <si>
    <t xml:space="preserve">UMOI01514</t>
  </si>
  <si>
    <t xml:space="preserve">ESPATULA-UA02S</t>
  </si>
  <si>
    <t xml:space="preserve">1124089712</t>
  </si>
  <si>
    <t xml:space="preserve">Espatula Para Impresión Ua02s</t>
  </si>
  <si>
    <t xml:space="preserve">CPKK59309</t>
  </si>
  <si>
    <t xml:space="preserve">EPGMR035BLACK</t>
  </si>
  <si>
    <t xml:space="preserve">1130272651</t>
  </si>
  <si>
    <t xml:space="preserve">Auricular Epgmr035 Gaming Con Microfono Stereo Negro Negro</t>
  </si>
  <si>
    <t xml:space="preserve">YNEY91417</t>
  </si>
  <si>
    <t xml:space="preserve">KMG20BKCOMBOWLS</t>
  </si>
  <si>
    <t xml:space="preserve">3415097238 | 674608017</t>
  </si>
  <si>
    <t xml:space="preserve">Kit Teclado + Mouse Inalambrico Wireless Smart Pc Notebook Negro</t>
  </si>
  <si>
    <t xml:space="preserve">Grande</t>
  </si>
  <si>
    <t xml:space="preserve">NDSR37556</t>
  </si>
  <si>
    <t xml:space="preserve">MLTD104SCOMP</t>
  </si>
  <si>
    <t xml:space="preserve">1432333579 | 615899768</t>
  </si>
  <si>
    <t xml:space="preserve">Toner Alternativo Para Samsung 1665 104s 104 Ml1665 Ml1865 Negro</t>
  </si>
  <si>
    <t xml:space="preserve">LGAM05574</t>
  </si>
  <si>
    <t xml:space="preserve">CABLEREDCAT5RJ2MY</t>
  </si>
  <si>
    <t xml:space="preserve">1960865546 | 660810957</t>
  </si>
  <si>
    <t xml:space="preserve">Cable De Red Utp 2 Metros Rj45 Cat 5e Patch Cord Ethernet</t>
  </si>
  <si>
    <t xml:space="preserve">UCKV77577</t>
  </si>
  <si>
    <t xml:space="preserve">EPGMR029BLACK</t>
  </si>
  <si>
    <t xml:space="preserve">1130780885 | 3274793040</t>
  </si>
  <si>
    <t xml:space="preserve">Auricular Gamer Con Microfono Stereo Epgmr029 Negro Negro</t>
  </si>
  <si>
    <t xml:space="preserve">FZBZ18741</t>
  </si>
  <si>
    <t xml:space="preserve">FOILHOLOGOLDRAINBOW-G-32X6MT</t>
  </si>
  <si>
    <t xml:space="preserve">1876051914 | 3374717672</t>
  </si>
  <si>
    <t xml:space="preserve">Rollo Foil Holográfico Gold Rainbow Glossy, 32cm X 6m Gold Rainbown</t>
  </si>
  <si>
    <t xml:space="preserve">GKBT65516</t>
  </si>
  <si>
    <t xml:space="preserve">WEEDINGTOOLS-SETX6</t>
  </si>
  <si>
    <t xml:space="preserve">3105334186</t>
  </si>
  <si>
    <t xml:space="preserve">Kit De 6 Herramientas Basicas Para Manualidades</t>
  </si>
  <si>
    <t xml:space="preserve">TBOR79704</t>
  </si>
  <si>
    <t xml:space="preserve">CE278ACOMP</t>
  </si>
  <si>
    <t xml:space="preserve">614120423</t>
  </si>
  <si>
    <t xml:space="preserve">Toner Alternativo Para  Ce278a 78a 278 P1606 P1606dn P1566 Negro</t>
  </si>
  <si>
    <t xml:space="preserve">HSXJ89262</t>
  </si>
  <si>
    <t xml:space="preserve">K227BKMEDIAUSB</t>
  </si>
  <si>
    <t xml:space="preserve">1377072473</t>
  </si>
  <si>
    <t xml:space="preserve">Teclado Global K227 Multimedia Con Cable Usb Negro Negro Español De Latinoaméric</t>
  </si>
  <si>
    <t xml:space="preserve">OCPL64984</t>
  </si>
  <si>
    <t xml:space="preserve">LAM-POUCH-G-90X130MM-150MIC</t>
  </si>
  <si>
    <t xml:space="preserve">1424824337 | 698469191</t>
  </si>
  <si>
    <t xml:space="preserve">Pouch Para Plastificar 90x130mm X 150micr X 100 Unidades</t>
  </si>
  <si>
    <t xml:space="preserve">XYUM78058</t>
  </si>
  <si>
    <t xml:space="preserve">FOILSILVER-M-32X6MT</t>
  </si>
  <si>
    <t xml:space="preserve">1441862783 | 2428489418</t>
  </si>
  <si>
    <t xml:space="preserve">Rollo Foil Plata Metalizado Mate 32cm X 6mts Textil Sublimar Plata Metalizado</t>
  </si>
  <si>
    <t xml:space="preserve">HIZC37560</t>
  </si>
  <si>
    <t xml:space="preserve">CF217ACOMPNOCHIP</t>
  </si>
  <si>
    <t xml:space="preserve">674519456</t>
  </si>
  <si>
    <t xml:space="preserve">Toner Alternativo 217a 17a Cf217a M102w M130fw M130f S/ Chip Negro</t>
  </si>
  <si>
    <t xml:space="preserve">RRCW75470</t>
  </si>
  <si>
    <t xml:space="preserve">PLANCHA-SUB-GORRA-PORT</t>
  </si>
  <si>
    <t xml:space="preserve">1737714493</t>
  </si>
  <si>
    <t xml:space="preserve">Plancha Portátil Para Gorras 3 Niveles De Temperatura Blanco</t>
  </si>
  <si>
    <t xml:space="preserve">GJVP01454</t>
  </si>
  <si>
    <t xml:space="preserve">TVS-FIX-26-63I-400X400</t>
  </si>
  <si>
    <t xml:space="preserve">899100645</t>
  </si>
  <si>
    <t xml:space="preserve">Soporte De Tv Lcd Plasma Fijo 45kg De 26 A 63 400x400 Negro</t>
  </si>
  <si>
    <t xml:space="preserve">WLJX80862</t>
  </si>
  <si>
    <t xml:space="preserve">X2 MLTD101SCOMP</t>
  </si>
  <si>
    <t xml:space="preserve">1613067829</t>
  </si>
  <si>
    <t xml:space="preserve">Pack Tóner Alternativo Global Electronics Mlt-d101s Negro Para Samsung Ml-2165w</t>
  </si>
  <si>
    <t xml:space="preserve">VJLP05831</t>
  </si>
  <si>
    <t xml:space="preserve">407578COMP</t>
  </si>
  <si>
    <t xml:space="preserve">659978583</t>
  </si>
  <si>
    <t xml:space="preserve">Tóner Global Electronics Laserjet Sp 310 Dn 6400 Negro</t>
  </si>
  <si>
    <t xml:space="preserve">QKRV04417</t>
  </si>
  <si>
    <t xml:space="preserve">K103BKUSB</t>
  </si>
  <si>
    <t xml:space="preserve">905992334</t>
  </si>
  <si>
    <t xml:space="preserve">Teclado Global Electronics Cable Usb K103bkusb Qwerty Español Para Oficina Negro</t>
  </si>
  <si>
    <t xml:space="preserve">NGFW33158</t>
  </si>
  <si>
    <t xml:space="preserve">PLANCHA-SUB-AUTO-TERMO</t>
  </si>
  <si>
    <t xml:space="preserve">1651532633</t>
  </si>
  <si>
    <t xml:space="preserve">Plancha Sublimadora Estampadora Automatica De Termos Blanco</t>
  </si>
  <si>
    <t xml:space="preserve">PNJF09873</t>
  </si>
  <si>
    <t xml:space="preserve">AURI-EP033BK</t>
  </si>
  <si>
    <t xml:space="preserve">1723436608</t>
  </si>
  <si>
    <t xml:space="preserve">Auriculares Con Cable Plug Fino Jack 3.5mm Stereo Color Negro</t>
  </si>
  <si>
    <t xml:space="preserve">UTRJ91752</t>
  </si>
  <si>
    <t xml:space="preserve">K601BKCOMBOWLS</t>
  </si>
  <si>
    <t xml:space="preserve">1404033050 | 2797089614</t>
  </si>
  <si>
    <t xml:space="preserve">Combo Teclado Y Mouse Unificado Inalámbrico 2.4ghz A Pilas Negro</t>
  </si>
  <si>
    <t xml:space="preserve">UIQJ99040</t>
  </si>
  <si>
    <t xml:space="preserve">PAPERM110A4-100</t>
  </si>
  <si>
    <t xml:space="preserve">1142476023</t>
  </si>
  <si>
    <t xml:space="preserve">Papel Fotográfico Sublimación Global A4 110g 100 Hojas Blanco</t>
  </si>
  <si>
    <t xml:space="preserve">OVRA28323</t>
  </si>
  <si>
    <t xml:space="preserve">LAM-POUCH-G-303X426MM-150MIC</t>
  </si>
  <si>
    <t xml:space="preserve">2004823518 | 732536025</t>
  </si>
  <si>
    <t xml:space="preserve">Sobres Pouch Para Plastificar Caliente A3 150mic X 100u -</t>
  </si>
  <si>
    <t xml:space="preserve">XRUD92741</t>
  </si>
  <si>
    <t xml:space="preserve">SEW-MINI</t>
  </si>
  <si>
    <t xml:space="preserve">2089818934 | 2893270572</t>
  </si>
  <si>
    <t xml:space="preserve">Máquina De Coser Sew Mini Recta Rebobinado Automático Blanco</t>
  </si>
  <si>
    <t xml:space="preserve">ULCE09962</t>
  </si>
  <si>
    <t xml:space="preserve">EPGMR035YELL</t>
  </si>
  <si>
    <t xml:space="preserve">1131283918</t>
  </si>
  <si>
    <t xml:space="preserve">Auriculares Epgmr035 Gaming Con Microfono Stereo Amarillo Amarillo</t>
  </si>
  <si>
    <t xml:space="preserve">GIPU09970</t>
  </si>
  <si>
    <t xml:space="preserve">EPGMR029BLUE</t>
  </si>
  <si>
    <t xml:space="preserve">1130771047 | 3344657368</t>
  </si>
  <si>
    <t xml:space="preserve">Auriculares Gaming Global Electronics Epgmr029 Con Micrófono Azul</t>
  </si>
  <si>
    <t xml:space="preserve">BBCN95445</t>
  </si>
  <si>
    <t xml:space="preserve">KL151COMBOGAMERRGB</t>
  </si>
  <si>
    <t xml:space="preserve">1357337815 | 781471108</t>
  </si>
  <si>
    <t xml:space="preserve">Combo Teclado + Mouse 6d Gamer Retroiluminado Usb Kl151 Negro</t>
  </si>
  <si>
    <t xml:space="preserve">KZLL71843</t>
  </si>
  <si>
    <t xml:space="preserve">KG002BKMINIPADWLS</t>
  </si>
  <si>
    <t xml:space="preserve">1980317090</t>
  </si>
  <si>
    <t xml:space="preserve">Mini Teclado Inalambrico Con Luz Led Retroiluminado Con Touch Pad / Mouse Recarg</t>
  </si>
  <si>
    <t xml:space="preserve">WXVN34480</t>
  </si>
  <si>
    <t xml:space="preserve">INKCARTHP21XL</t>
  </si>
  <si>
    <t xml:space="preserve">2028583368 | 702751806</t>
  </si>
  <si>
    <t xml:space="preserve">Cartucho Alternativo Para 21xl 21 Negro 3940 3920 F4180 Hp</t>
  </si>
  <si>
    <t xml:space="preserve">LVMZ09841</t>
  </si>
  <si>
    <t xml:space="preserve">EPGMR029RED</t>
  </si>
  <si>
    <t xml:space="preserve">1130798100 | 3347900166</t>
  </si>
  <si>
    <t xml:space="preserve">Auriculares Gaming Global Electronics Epgmr029 Con Micrófono Rojo</t>
  </si>
  <si>
    <t xml:space="preserve">PKOM99637</t>
  </si>
  <si>
    <t xml:space="preserve">PLANCHA-SUB-AUTO-GORRA</t>
  </si>
  <si>
    <t xml:space="preserve">1651483523</t>
  </si>
  <si>
    <t xml:space="preserve">Plancha Sublimadora Estampadora Automatica De Gorras 3 En 1 Blanco</t>
  </si>
  <si>
    <t xml:space="preserve">DNTO35651</t>
  </si>
  <si>
    <t xml:space="preserve">EPERC31BKCOMP</t>
  </si>
  <si>
    <t xml:space="preserve">1377206927 | 1518516297</t>
  </si>
  <si>
    <t xml:space="preserve">Cinta Alternativa Para Erc 31 Negra Tm 590 950 Tm 930</t>
  </si>
  <si>
    <t xml:space="preserve">DJHD94505</t>
  </si>
  <si>
    <t xml:space="preserve">CALCU-8D-402</t>
  </si>
  <si>
    <t xml:space="preserve">2265986362 | 826630244</t>
  </si>
  <si>
    <t xml:space="preserve">Calculadora Basica De Bolsillo De 8 Digitos Plastica Negra Negro</t>
  </si>
  <si>
    <t xml:space="preserve">PVPA97585</t>
  </si>
  <si>
    <t xml:space="preserve">MONI-OFFICE-21.5IFHD</t>
  </si>
  <si>
    <t xml:space="preserve">2087278288 | 3521030684</t>
  </si>
  <si>
    <t xml:space="preserve">Monitor 22 Full Hd Resolucion 1920x1080 Notebook Laptop Negro</t>
  </si>
  <si>
    <t xml:space="preserve">RJCA89828</t>
  </si>
  <si>
    <t xml:space="preserve">JUICEREXTR1,2L</t>
  </si>
  <si>
    <t xml:space="preserve">2765593806 | 2900250080</t>
  </si>
  <si>
    <t xml:space="preserve">Juguera Extractor Acero Inox De Jugo 500ml Color Plateado</t>
  </si>
  <si>
    <t xml:space="preserve">DLTQ79974</t>
  </si>
  <si>
    <t xml:space="preserve">FOODPROC2L</t>
  </si>
  <si>
    <t xml:space="preserve">1550662861</t>
  </si>
  <si>
    <t xml:space="preserve">Multiprocesadora Multifuncional Picadora De Alimentos 2lts Verde</t>
  </si>
  <si>
    <t xml:space="preserve">YDHM27579</t>
  </si>
  <si>
    <t xml:space="preserve">VACSEALER-1688</t>
  </si>
  <si>
    <t xml:space="preserve">1143949418 | 2836922738</t>
  </si>
  <si>
    <t xml:space="preserve">Selladora Al Vacío Global Ecom Modelo 1688 Para Alimentos</t>
  </si>
  <si>
    <t xml:space="preserve">KTVP12726</t>
  </si>
  <si>
    <t xml:space="preserve">SAFEBOX-BOOK-24X15X55-BL</t>
  </si>
  <si>
    <t xml:space="preserve">1475789593 | 2778673780</t>
  </si>
  <si>
    <t xml:space="preserve">Caja Fuerte Cofre Porta Valores Formato Libro Seguridad Azul</t>
  </si>
  <si>
    <t xml:space="preserve">YXCR30776</t>
  </si>
  <si>
    <t xml:space="preserve">PAPERM210A4-20</t>
  </si>
  <si>
    <t xml:space="preserve">2628382014</t>
  </si>
  <si>
    <t xml:space="preserve">Papel Opalina Mate A4 210 G 20 Hojas Global Electronics Blanco</t>
  </si>
  <si>
    <t xml:space="preserve">DKXK72214</t>
  </si>
  <si>
    <t xml:space="preserve">TP-LABEL12-PORTA-BT</t>
  </si>
  <si>
    <t xml:space="preserve">1482634981 | 1528295461</t>
  </si>
  <si>
    <t xml:space="preserve">Rotuladora Etiquetas Portatil Termica Bluetooth Sticker Blanco</t>
  </si>
  <si>
    <t xml:space="preserve">QBKE61272</t>
  </si>
  <si>
    <t xml:space="preserve">HTV-PVC-BLACK-G-50X1MT</t>
  </si>
  <si>
    <t xml:space="preserve">1516769711</t>
  </si>
  <si>
    <t xml:space="preserve">Vinilo Termotransferible Pvc Textil Glossy 50cm X 1 Metro</t>
  </si>
  <si>
    <t xml:space="preserve">ZMDU32114</t>
  </si>
  <si>
    <t xml:space="preserve">FAN-COOLSPRAY-USB</t>
  </si>
  <si>
    <t xml:space="preserve">2416068384</t>
  </si>
  <si>
    <t xml:space="preserve">Mini Ventilador Cooler Humidificador Aire Frio Con Hielo Negro</t>
  </si>
  <si>
    <t xml:space="preserve">FEVS06560</t>
  </si>
  <si>
    <t xml:space="preserve">SANDMAK1P</t>
  </si>
  <si>
    <t xml:space="preserve">1550624055 | 1841299235</t>
  </si>
  <si>
    <t xml:space="preserve">Sandwichera Eléctrica Doble Antiadherente 750w Global Negro</t>
  </si>
  <si>
    <t xml:space="preserve">PQRE09970</t>
  </si>
  <si>
    <t xml:space="preserve">M260BLACKUSB</t>
  </si>
  <si>
    <t xml:space="preserve">1421033533 | 906011011</t>
  </si>
  <si>
    <t xml:space="preserve">Mouse Economico Óptico Ergonómico Cable Usb Global Caja Negro</t>
  </si>
  <si>
    <t xml:space="preserve">OWLX23005</t>
  </si>
  <si>
    <t xml:space="preserve">LPT-STAND-18PRO</t>
  </si>
  <si>
    <t xml:space="preserve">2087261572 | 2433114298</t>
  </si>
  <si>
    <t xml:space="preserve">Soporte Ajustable Ergonomico Portátil Para Notebook Aluminio Plateado</t>
  </si>
  <si>
    <t xml:space="preserve">LDZP98857</t>
  </si>
  <si>
    <t xml:space="preserve">CABLEHDGOLD20M</t>
  </si>
  <si>
    <t xml:space="preserve">1556438103 | 867773412</t>
  </si>
  <si>
    <t xml:space="preserve">Cable Hd 20m Global Electronics 20m Mallado Oro 4k</t>
  </si>
  <si>
    <t xml:space="preserve">DBVN94006</t>
  </si>
  <si>
    <t xml:space="preserve">VACSEALER-0301W</t>
  </si>
  <si>
    <t xml:space="preserve">1143875315</t>
  </si>
  <si>
    <t xml:space="preserve">Selladora Envasadora Vacio Para Alimentos Plastico Blanca</t>
  </si>
  <si>
    <t xml:space="preserve">VKNN24062</t>
  </si>
  <si>
    <t xml:space="preserve">KMG27BKCOMBOWLS</t>
  </si>
  <si>
    <t xml:space="preserve">3346296206 | 3346296208</t>
  </si>
  <si>
    <t xml:space="preserve">Combo Teclado Y Mouse Inalámbricos Kmg27 Negro Global Negro</t>
  </si>
  <si>
    <t xml:space="preserve">Mediano (Estimado)</t>
  </si>
  <si>
    <t xml:space="preserve">KXUD62443</t>
  </si>
  <si>
    <t xml:space="preserve">HTV-PVC-WHITE-G-50X1MT</t>
  </si>
  <si>
    <t xml:space="preserve">UKNM63522</t>
  </si>
  <si>
    <t xml:space="preserve">CF258ACOMPNOCHIP</t>
  </si>
  <si>
    <t xml:space="preserve">1431721297 | 824705993</t>
  </si>
  <si>
    <t xml:space="preserve">Toner Alternativo S/chip Cf258a 258a 58a M404 M428 Negro</t>
  </si>
  <si>
    <t xml:space="preserve">SUPJ01892</t>
  </si>
  <si>
    <t xml:space="preserve">PLANCHA-SUB-GORRA</t>
  </si>
  <si>
    <t xml:space="preserve">1423295653 | 1443389055 | 2547006646</t>
  </si>
  <si>
    <t xml:space="preserve">Estampadora Sublimadora De Gorras Potencia 110/220v 350w Negro</t>
  </si>
  <si>
    <t xml:space="preserve">HKMR11070</t>
  </si>
  <si>
    <t xml:space="preserve">MONI-OFFICE-27IFHD</t>
  </si>
  <si>
    <t xml:space="preserve">1498545659 | 3535868688</t>
  </si>
  <si>
    <t xml:space="preserve">Monitor 27  Full Hd 1080p 60hz Hdmi + Vga Global Negro</t>
  </si>
  <si>
    <t xml:space="preserve">VXPL12567</t>
  </si>
  <si>
    <t xml:space="preserve">MPADGAMER-RGB-80X30</t>
  </si>
  <si>
    <t xml:space="preserve">1367417403</t>
  </si>
  <si>
    <t xml:space="preserve">Mouse Pad Gamer Retroiluminado Rgb Global 80x30 Cm Negro</t>
  </si>
  <si>
    <t xml:space="preserve">NYFH95409</t>
  </si>
  <si>
    <t xml:space="preserve">CABLEIPHLIGHT1MW</t>
  </si>
  <si>
    <t xml:space="preserve">645405242</t>
  </si>
  <si>
    <t xml:space="preserve">Cable Usb 5 5s 5c 7 6 Plus Touch 4 Air Min Blanco</t>
  </si>
  <si>
    <t xml:space="preserve">JCUL11544</t>
  </si>
  <si>
    <t xml:space="preserve">FOILGOLD-M-32X6MT</t>
  </si>
  <si>
    <t xml:space="preserve">1876615926</t>
  </si>
  <si>
    <t xml:space="preserve">Papel Foil Metalizado Textil Para Telas 32cmx6mt Gold Metalizado Mate</t>
  </si>
  <si>
    <t xml:space="preserve">WMJD20272</t>
  </si>
  <si>
    <t xml:space="preserve">BILLCOUNTER-1</t>
  </si>
  <si>
    <t xml:space="preserve">1635370518 | 1957815150</t>
  </si>
  <si>
    <t xml:space="preserve">Contadora De Billetes Maquina Cuenta Dinero Detector Falsos</t>
  </si>
  <si>
    <t xml:space="preserve">USDY68617</t>
  </si>
  <si>
    <t xml:space="preserve">TVS-TILT-26-55I-400X400</t>
  </si>
  <si>
    <t xml:space="preserve">1458499628 | 899088022</t>
  </si>
  <si>
    <t xml:space="preserve">Soporte Tv Lcd Basculante Vesa 400x400 26 A 55 Negro</t>
  </si>
  <si>
    <t xml:space="preserve">XXUG12355</t>
  </si>
  <si>
    <t xml:space="preserve">EXPDISC+DOUWIRE-2IN1-MINI-P</t>
  </si>
  <si>
    <t xml:space="preserve">3484868310 | 3546936634</t>
  </si>
  <si>
    <t xml:space="preserve">Encuadernadora Manual 2 En 1 Discos Y Doble Wire 15 Hojas Rosa</t>
  </si>
  <si>
    <t xml:space="preserve">XVFV46244</t>
  </si>
  <si>
    <t xml:space="preserve">SMARTLOCK-WT1</t>
  </si>
  <si>
    <t xml:space="preserve">2859298958 | 2900941722</t>
  </si>
  <si>
    <t xml:space="preserve">Cerradura Inteligente Huella Digital App Tuya Wifi Global Negro</t>
  </si>
  <si>
    <t xml:space="preserve">HQVW06525</t>
  </si>
  <si>
    <t xml:space="preserve">SANDMAK3IN1</t>
  </si>
  <si>
    <t xml:space="preserve">1550520415</t>
  </si>
  <si>
    <t xml:space="preserve">Sandwichera Waflera Eléctrica Con Placa Antiadherente Negro</t>
  </si>
  <si>
    <t xml:space="preserve">TCDN10710</t>
  </si>
  <si>
    <t xml:space="preserve">EPINEARMIC-2W</t>
  </si>
  <si>
    <t xml:space="preserve">1613135290 | 921860739</t>
  </si>
  <si>
    <t xml:space="preserve">Auricular Con Microfono Con Cable Plug Fino Jack 3.5  Blanco</t>
  </si>
  <si>
    <t xml:space="preserve">YFLE02140</t>
  </si>
  <si>
    <t xml:space="preserve">PLANCHA-SUB-TERMO</t>
  </si>
  <si>
    <t xml:space="preserve">1476006109</t>
  </si>
  <si>
    <t xml:space="preserve">Plancha Estampadora De Termos 30oz Negro</t>
  </si>
  <si>
    <t xml:space="preserve">AKKQ44424</t>
  </si>
  <si>
    <t xml:space="preserve">FAN-BLADELESSCOOL</t>
  </si>
  <si>
    <t xml:space="preserve">2765525516</t>
  </si>
  <si>
    <t xml:space="preserve">Ventilador Portátil Mini De Mesa Pleglable Usb 6 Velocidades Blanco</t>
  </si>
  <si>
    <t xml:space="preserve">BOLC77583</t>
  </si>
  <si>
    <t xml:space="preserve">CELU-WL-BK</t>
  </si>
  <si>
    <t xml:space="preserve">1549840747</t>
  </si>
  <si>
    <t xml:space="preserve">Joystick Bluetooth Recargable Global Ecom Para Celulares</t>
  </si>
  <si>
    <t xml:space="preserve">KTCC59332</t>
  </si>
  <si>
    <t xml:space="preserve">TP-POS58-USB</t>
  </si>
  <si>
    <t xml:space="preserve">1416848103</t>
  </si>
  <si>
    <t xml:space="preserve">Impresora Térmica Comandera Tickets Usb 58mm Global  Negro</t>
  </si>
  <si>
    <t xml:space="preserve">NSOC10809</t>
  </si>
  <si>
    <t xml:space="preserve">SAFEBOX-D-31X20X20</t>
  </si>
  <si>
    <t xml:space="preserve">1142489057 | 3364516090</t>
  </si>
  <si>
    <t xml:space="preserve">Caja Fuerte Digital Global 31x20x20cm Apertura Electronica Negro</t>
  </si>
  <si>
    <t xml:space="preserve">UKPN16842</t>
  </si>
  <si>
    <t xml:space="preserve">INKCARTHP22XL</t>
  </si>
  <si>
    <t xml:space="preserve">1480717461 | 702753322</t>
  </si>
  <si>
    <t xml:space="preserve">Cartucho Alternativo Para 22xl 22 Color 3940 3920 F4180 Hp</t>
  </si>
  <si>
    <t xml:space="preserve">BMQJ10401</t>
  </si>
  <si>
    <t xml:space="preserve">CABLEHDGOLD10M</t>
  </si>
  <si>
    <t xml:space="preserve">2797167350 | 3655836792 | 867766727</t>
  </si>
  <si>
    <t xml:space="preserve">Cable Hd 10 M Premium Mallado Oro 1.4 Full Hd 4k Ps4 Led</t>
  </si>
  <si>
    <t xml:space="preserve">ZVYA48199</t>
  </si>
  <si>
    <t xml:space="preserve">BILLCOUNTERPORT-1</t>
  </si>
  <si>
    <t xml:space="preserve">1461403711 | 1756435104</t>
  </si>
  <si>
    <t xml:space="preserve">Contadora De Billetes Portátil Display Digital </t>
  </si>
  <si>
    <t xml:space="preserve">HIEY48927</t>
  </si>
  <si>
    <t xml:space="preserve">BILLCOUNTER-4</t>
  </si>
  <si>
    <t xml:space="preserve">2113214146 | 2305765700</t>
  </si>
  <si>
    <t xml:space="preserve">Contadora De Billetes Detecta Billetes Falsos Doble Visor</t>
  </si>
  <si>
    <t xml:space="preserve">JNTX73414</t>
  </si>
  <si>
    <t xml:space="preserve">BS-COM-2DUSB</t>
  </si>
  <si>
    <t xml:space="preserve">1568150293 | 3105645508</t>
  </si>
  <si>
    <t xml:space="preserve">Lectora De Códigos De Barras 2d Lineales Y Qr - Usb Negro Usb</t>
  </si>
  <si>
    <t xml:space="preserve">VYSI92550</t>
  </si>
  <si>
    <t xml:space="preserve">BLENDER1.5L</t>
  </si>
  <si>
    <t xml:space="preserve">1650182329 | 2800288016</t>
  </si>
  <si>
    <t xml:space="preserve">Licuadora Y Procesadora 4 Velocidades 1,5 Lts/36 Gr Blanco</t>
  </si>
  <si>
    <t xml:space="preserve">ZFDA21654</t>
  </si>
  <si>
    <t xml:space="preserve">JS8000-SC-220V</t>
  </si>
  <si>
    <t xml:space="preserve">2012430988</t>
  </si>
  <si>
    <t xml:space="preserve">Cargador Batería Auto Moto 12v 24v Con Pinzas</t>
  </si>
  <si>
    <t xml:space="preserve">EFMY16111</t>
  </si>
  <si>
    <t xml:space="preserve">X2 Q2612ACOMP</t>
  </si>
  <si>
    <t xml:space="preserve">668551314</t>
  </si>
  <si>
    <t xml:space="preserve">Toner Alternativo Para Q2612a 2612a 12a 1010 1020 Pack X 2 Negro</t>
  </si>
  <si>
    <t xml:space="preserve">SCOC28190</t>
  </si>
  <si>
    <t xml:space="preserve">KEYSBOX-48</t>
  </si>
  <si>
    <t xml:space="preserve">1475765839</t>
  </si>
  <si>
    <t xml:space="preserve">Armario Guarda 48 Llaveros Cofre Caja Ordenador Porta Llave Caqui</t>
  </si>
  <si>
    <t xml:space="preserve">TBWT93978</t>
  </si>
  <si>
    <t xml:space="preserve">CABLEHDGOLD5M</t>
  </si>
  <si>
    <t xml:space="preserve">2517240202 | 3535868802 | 867778290</t>
  </si>
  <si>
    <t xml:space="preserve">Cable Hd 5m Full Hd 1080p 1.4v</t>
  </si>
  <si>
    <t xml:space="preserve">IILC44993</t>
  </si>
  <si>
    <t xml:space="preserve">FAN-COOLSPRAY-RECH</t>
  </si>
  <si>
    <t xml:space="preserve">2416068386</t>
  </si>
  <si>
    <t xml:space="preserve">Mini Climatizador Portátil 3en1 Usb Recargable Humidificador Blanco</t>
  </si>
  <si>
    <t xml:space="preserve">SMBG96818</t>
  </si>
  <si>
    <t xml:space="preserve">EPBL027GREEN</t>
  </si>
  <si>
    <t xml:space="preserve">3034129302 | 921800087</t>
  </si>
  <si>
    <t xml:space="preserve">Auricular Bluetooth Inalambrico Epbl027 Vincha Verde Verde</t>
  </si>
  <si>
    <t xml:space="preserve">GKTV23300</t>
  </si>
  <si>
    <t xml:space="preserve">CAMX2-OUT-WIFI-1080P</t>
  </si>
  <si>
    <t xml:space="preserve">1852131315</t>
  </si>
  <si>
    <t xml:space="preserve">Cámara Vigilancia Doble Wifi 1080p Ptz Audio Bidireccional Blanco</t>
  </si>
  <si>
    <t xml:space="preserve">VMYB22881</t>
  </si>
  <si>
    <t xml:space="preserve">CAM-IN-WIFI-1080P</t>
  </si>
  <si>
    <t xml:space="preserve">1926314651</t>
  </si>
  <si>
    <t xml:space="preserve">Cámara Seguridad Wifi Interior 1080p Ptz App Ycc Audio Blanco</t>
  </si>
  <si>
    <t xml:space="preserve">Pequeño (Estimado)</t>
  </si>
  <si>
    <t xml:space="preserve">YRBD12184</t>
  </si>
  <si>
    <t xml:space="preserve">CABLEHDGOLDFILTER5M</t>
  </si>
  <si>
    <t xml:space="preserve">1144083381 | 2026285750</t>
  </si>
  <si>
    <t xml:space="preserve">Cable Hd A Hd 5 Metros Con Filtro Terminales Oro V2.0 4k</t>
  </si>
  <si>
    <t xml:space="preserve">FQXT23794</t>
  </si>
  <si>
    <t xml:space="preserve">HSF-VAC-KIT</t>
  </si>
  <si>
    <t xml:space="preserve">1919972899</t>
  </si>
  <si>
    <t xml:space="preserve">Aspiradora Sopladora 3 En 1 Inalámbrica 8000 Mah Negro</t>
  </si>
  <si>
    <t xml:space="preserve">LECW18578</t>
  </si>
  <si>
    <t xml:space="preserve">FOILHOLOMULTICOLOR-G-32X6MT</t>
  </si>
  <si>
    <t xml:space="preserve">1606669903 | 2669141946</t>
  </si>
  <si>
    <t xml:space="preserve">Foil Holográfico Pet Metalizado Glossy 32cm De Ancho X 6 Mt Multicolor</t>
  </si>
  <si>
    <t xml:space="preserve">ZTDG44993</t>
  </si>
  <si>
    <t xml:space="preserve">FAN-20I</t>
  </si>
  <si>
    <t xml:space="preserve">2416042722 | 3655836968</t>
  </si>
  <si>
    <t xml:space="preserve">Ventilador Turbo 20 Potente Mesa Piso 3 Velocidades 50.8 Cm Negro Plástico</t>
  </si>
  <si>
    <t xml:space="preserve">BGMU45960</t>
  </si>
  <si>
    <t xml:space="preserve">FAN-COOL300-USB</t>
  </si>
  <si>
    <t xml:space="preserve">2416042724</t>
  </si>
  <si>
    <t xml:space="preserve">Ventilador Con Agua Fría Humidificador Purificador Usb Blanco</t>
  </si>
  <si>
    <t xml:space="preserve">FRMW13126</t>
  </si>
  <si>
    <t xml:space="preserve">EXPDISC+DOUWIRE-2IN1-MINI-G</t>
  </si>
  <si>
    <t xml:space="preserve">3484868312</t>
  </si>
  <si>
    <t xml:space="preserve">Encuadernadora Manual 2 En 1 Discos Y Doble Wire 15 Hojas Turquesa</t>
  </si>
  <si>
    <t xml:space="preserve">DVNJ46510</t>
  </si>
  <si>
    <t xml:space="preserve">ESPIRALADORA-M-A4-R</t>
  </si>
  <si>
    <t xml:space="preserve">1380302329 | 2827065470</t>
  </si>
  <si>
    <t xml:space="preserve">Espiraladora Manual Reforzada A4 Perfora 12 Hojas 80grs</t>
  </si>
  <si>
    <t xml:space="preserve">MMFT59805</t>
  </si>
  <si>
    <t xml:space="preserve">COFRE-20X15X9-BL</t>
  </si>
  <si>
    <t xml:space="preserve">1142306808 | 2028543192</t>
  </si>
  <si>
    <t xml:space="preserve">Cofre Portavalores Con Bandeja Global 20x15x9cm 2 Llaves  Azul</t>
  </si>
  <si>
    <t xml:space="preserve">JGZN23257</t>
  </si>
  <si>
    <t xml:space="preserve">CAM-OUT-WIFI-1080P</t>
  </si>
  <si>
    <t xml:space="preserve">3504397400</t>
  </si>
  <si>
    <t xml:space="preserve">Cámara Seguridad Wifi Exterior 1080p Ptz Audio App Ycc Blanco</t>
  </si>
  <si>
    <t xml:space="preserve">PTKV37093</t>
  </si>
  <si>
    <t xml:space="preserve">CALCU-12D-837B</t>
  </si>
  <si>
    <t xml:space="preserve">1791793656 | 826874563</t>
  </si>
  <si>
    <t xml:space="preserve">Calculadora De Mesa De 12 Dígitos Plastica Negra 837b Negro</t>
  </si>
  <si>
    <t xml:space="preserve">YCAZ23815</t>
  </si>
  <si>
    <t xml:space="preserve">CAMX4-OUT-SOLAR-4G-1080P</t>
  </si>
  <si>
    <t xml:space="preserve">3498026800</t>
  </si>
  <si>
    <t xml:space="preserve">Cámara Solar Exterior 4g Wifi 1080p Ptz Visión Nocturna Gris Oscuro</t>
  </si>
  <si>
    <t xml:space="preserve">IOBM29701</t>
  </si>
  <si>
    <t xml:space="preserve">MONS-ARM2-13-30I-100X100</t>
  </si>
  <si>
    <t xml:space="preserve">1377607289</t>
  </si>
  <si>
    <t xml:space="preserve">Soporte Para Monitor Doble Brazo Neumático Movil 13 A 30  Negro</t>
  </si>
  <si>
    <t xml:space="preserve">YGIG10948</t>
  </si>
  <si>
    <t xml:space="preserve">MONI-OFFICE-23.6IFHD</t>
  </si>
  <si>
    <t xml:space="preserve">2087405722 | 3532134760</t>
  </si>
  <si>
    <t xml:space="preserve">Monitor 24 Pulgadas   Hdmi Vga Full Hd  1080p 60hz Negro</t>
  </si>
  <si>
    <t xml:space="preserve">XBIE81701</t>
  </si>
  <si>
    <t xml:space="preserve">MONS-ARM2-10-27I-100X100</t>
  </si>
  <si>
    <t xml:space="preserve">1451180082</t>
  </si>
  <si>
    <t xml:space="preserve">Soporte Monitor Doble Brazo Movil 10 A 27 Vesa 100x100 10kg Negro</t>
  </si>
  <si>
    <t xml:space="preserve">WEPI53171</t>
  </si>
  <si>
    <t xml:space="preserve">PB211COMP</t>
  </si>
  <si>
    <t xml:space="preserve">1112894883</t>
  </si>
  <si>
    <t xml:space="preserve">Cartucho De Toner Pantum Pb-211 Alternativo 1.6k</t>
  </si>
  <si>
    <t xml:space="preserve">KXQQ58394</t>
  </si>
  <si>
    <t xml:space="preserve">TP-POS80-USB</t>
  </si>
  <si>
    <t xml:space="preserve">1416860243</t>
  </si>
  <si>
    <t xml:space="preserve">Impresora Termica 80mm Comandera Tickets Usb Negro</t>
  </si>
  <si>
    <t xml:space="preserve">UVJP81772</t>
  </si>
  <si>
    <t xml:space="preserve">X10 STRC200BKCOMP</t>
  </si>
  <si>
    <t xml:space="preserve">2654087308</t>
  </si>
  <si>
    <t xml:space="preserve">Pack De 10 Cintas Ribbon Alternativa Global Sp200 Sp216 Negro</t>
  </si>
  <si>
    <t xml:space="preserve">QUÉ ES CADA COLUMNA</t>
  </si>
  <si>
    <t xml:space="preserve">Las columnas en celeste se calculan solas. Las grises vienen de un reporte.</t>
  </si>
  <si>
    <t xml:space="preserve">BLOQUE</t>
  </si>
  <si>
    <t xml:space="preserve">COLUMNA</t>
  </si>
  <si>
    <t xml:space="preserve">DE DÓNDE SALE</t>
  </si>
  <si>
    <t xml:space="preserve">QUÉ SIGNIFICA</t>
  </si>
  <si>
    <t xml:space="preserve">Fijo</t>
  </si>
  <si>
    <t xml:space="preserve">IT o MT. Hoy solo hay IT cargada.</t>
  </si>
  <si>
    <t xml:space="preserve">Reporte general de stock de Full</t>
  </si>
  <si>
    <t xml:space="preserve">El código interno de ML del producto.</t>
  </si>
  <si>
    <t xml:space="preserve">Nuestro código.</t>
  </si>
  <si>
    <t xml:space="preserve">El número de publicación. Si un SKU tiene varias, aparecen todas.</t>
  </si>
  <si>
    <t xml:space="preserve">Nombre del producto en ML.</t>
  </si>
  <si>
    <t xml:space="preserve">Unidades aptas para vender que están hoy en el depósito de ML.</t>
  </si>
  <si>
    <t xml:space="preserve">Unidades que ya salieron y ML todavía no recibió.</t>
  </si>
  <si>
    <t xml:space="preserve">El número que informa ML. OJO: es el que puede estar censurado.</t>
  </si>
  <si>
    <t xml:space="preserve">CALCULADA</t>
  </si>
  <si>
    <t xml:space="preserve">Ventas 30 días dividido 30. Es lo que muestra cualquier reporte. Puede estar mal.</t>
  </si>
  <si>
    <t xml:space="preserve">Si el dato está censurado, se divide por los días que tuvo stock en lugar de por 30. Esta es la que se usa para todo lo demás.</t>
  </si>
  <si>
    <t xml:space="preserve">Stock objetivo</t>
  </si>
  <si>
    <t xml:space="preserve">Ventas diarias corregida por las semanas objetivo por 7. Las semanas se cambian en la celda C3.</t>
  </si>
  <si>
    <t xml:space="preserve">Stock objetivo menos lo que hay en Full menos lo que va en camino. Nunca da negativo.</t>
  </si>
  <si>
    <t xml:space="preserve">Sistema Táctica</t>
  </si>
  <si>
    <t xml:space="preserve">Unidades disponibles en Táctica.</t>
  </si>
  <si>
    <t xml:space="preserve">Sistema ECOM</t>
  </si>
  <si>
    <t xml:space="preserve">Unidades disponibles en ECOM.</t>
  </si>
  <si>
    <t xml:space="preserve">Táctica más ECOM. El total que tenemos para mandar.</t>
  </si>
  <si>
    <t xml:space="preserve">El menor entre lo que falta enviar y lo que hay disponible. Si es menor que "Falta enviar", el límite no es Full: no tenemos la mercadería.</t>
  </si>
  <si>
    <t xml:space="preserve">Activa, pausada, etc. Una pausada vende cero aunque tenga stock.</t>
  </si>
  <si>
    <t xml:space="preserve">Cuántas publicaciones tiene ese SKU. Si es más de 1, el stock se comparte.</t>
  </si>
  <si>
    <t xml:space="preserve">Chico, mediano, grande. Define la tarifa de almacenamiento.</t>
  </si>
  <si>
    <t xml:space="preserve">Reporte de ventas con fecha</t>
  </si>
  <si>
    <t xml:space="preserve">Unidades realmente vendidas en el período, descontando canceladas y devueltas.</t>
  </si>
  <si>
    <t xml:space="preserve">En cuántos días distintos hubo al menos una venta.</t>
  </si>
  <si>
    <t xml:space="preserve">Días entre la primera y la última venta. Aproxima cuántos días tuvo stock. ESTE ES EL DATO CLAVE.</t>
  </si>
  <si>
    <t xml:space="preserve">Cuántos días pasaron desde la última venta hasta hoy. Si son muchos y el stock es cero, se agotó.</t>
  </si>
  <si>
    <t xml:space="preserve">Stock promedio que tuvo durante el mes, según ML.</t>
  </si>
  <si>
    <t xml:space="preserve">Ventas 30 días dividido stock promedio. Arriba de 3 significa que estuvo agotado buena parte del mes.</t>
  </si>
  <si>
    <t xml:space="preserve">CENSURADO: se agotó, así que la venta es un piso y no una medición. CONFIABLE: tuvo stock. SIN DATO: no vendió.</t>
  </si>
  <si>
    <t xml:space="preserve">Cuántas veces subestima el reporte mensual. Factor 6 significa que el reporte muestra la sexta parte de la demanda real.</t>
  </si>
  <si>
    <t xml:space="preserve">Stock en Full más en camino, dividido las ventas diarias corregidas.</t>
  </si>
  <si>
    <t xml:space="preserve">La fecha en que llega a cero si la venta sigue al mismo ritmo.</t>
  </si>
  <si>
    <t xml:space="preserve">Unidades que ML no puede vender. Ocupan lugar igual.</t>
  </si>
  <si>
    <t xml:space="preserve">Reporte de cargos por antigüedad</t>
  </si>
  <si>
    <t xml:space="preserve">Días de la unidad más vieja de ese SKU.</t>
  </si>
  <si>
    <t xml:space="preserve">Unidades entre 120 y 179 días. Hoy pagan la tarifa de la celda N3.</t>
  </si>
  <si>
    <t xml:space="preserve">Cuántos días faltan para que esas unidades pasen al tramo caro.</t>
  </si>
  <si>
    <t xml:space="preserve">Lo que se está pagando por stock antiguo de ese SKU.</t>
  </si>
  <si>
    <t xml:space="preserve">Cuánto más se pagaría si esas unidades cruzan los 180 días. La tarifa salta de $470 a $4.485: nueve veces.</t>
  </si>
  <si>
    <t xml:space="preserve">Costo unitario. 19 SKUs no lo tienen cargado.</t>
  </si>
  <si>
    <t xml:space="preserve">Stock en Full por el costo. Es un piso, porque falta el costo de algunos SKUs.</t>
  </si>
  <si>
    <t xml:space="preserve">El estado del SKU. Describe la situación, no indica qué hacer.</t>
  </si>
  <si>
    <t xml:space="preserve">LOS ESTADOS DE LA COLUMNA ALERTA</t>
  </si>
  <si>
    <t xml:space="preserve">En cero en Full, con demanda, y sin una sola unidad en Táctica ni ECOM. No es un problema de logística: es de compras.</t>
  </si>
  <si>
    <t xml:space="preserve">En cero en Full con demanda comprobada. Hay stock para mandar.</t>
  </si>
  <si>
    <t xml:space="preserve">Menos de 14 días de cobertura.</t>
  </si>
  <si>
    <t xml:space="preserve">Entre 14 y 84 días de cobertura.</t>
  </si>
  <si>
    <t xml:space="preserve">Más de 84 días de cobertura.</t>
  </si>
  <si>
    <t xml:space="preserve">Tiene unidades en Full y no vendió nada en el período.</t>
  </si>
  <si>
    <t xml:space="preserve">Tiene unidades en la franja 4-6 meses que no van a venderse antes de los 180 días.</t>
  </si>
  <si>
    <t xml:space="preserve">En cero y sin ventas.</t>
  </si>
  <si>
    <t xml:space="preserve">LO QUE ESTA PLANILLA NO PUEDE RESOLVER</t>
  </si>
  <si>
    <t xml:space="preserve">La ventana es una estimación</t>
  </si>
  <si>
    <t xml:space="preserve">Asume que la última venta es el día que se agotó. El reporte de stock de Full trae la hora exacta de ingreso y de venta de cada unidad, pero hay que abrirlo de a un SKU. Por API el cálculo sería exacto.</t>
  </si>
  <si>
    <t xml:space="preserve">No hay dato de visitas</t>
  </si>
  <si>
    <t xml:space="preserve">Un SKU con stock y sin ventas puede ser falta de demanda o publicación sin exposición. Con estos reportes las dos se ven iguales.</t>
  </si>
  <si>
    <t xml:space="preserve">No se sabe si Full le sirve al SKU</t>
  </si>
  <si>
    <t xml:space="preserve">Todo el sentido de Full es que convierte mejor. Si un producto vende lo mismo con Full que sin Full, se paga depósito por nada. Falta comparar la conversión de cada SKU con y sin Full.</t>
  </si>
  <si>
    <t xml:space="preserve">Los reportes tienen fechas distintas</t>
  </si>
  <si>
    <t xml:space="preserve">El de cargos y el de stock no son del mismo momento. Puede haber más unidades con cargo que unidades en stock. No es un error.</t>
  </si>
  <si>
    <t xml:space="preserve">Falta la cuenta MT</t>
  </si>
  <si>
    <t xml:space="preserve">La mitad de la operación está afuera de esta planilla.</t>
  </si>
</sst>
</file>

<file path=xl/styles.xml><?xml version="1.0" encoding="utf-8"?>
<styleSheet xmlns="http://schemas.openxmlformats.org/spreadsheetml/2006/main">
  <numFmts count="4">
    <numFmt numFmtId="164" formatCode="General"/>
    <numFmt numFmtId="165" formatCode="General"/>
    <numFmt numFmtId="166" formatCode="\$#,##0"/>
    <numFmt numFmtId="167" formatCode="dd/mm/yyyy"/>
  </numFmts>
  <fonts count="12">
    <font>
      <sz val="11"/>
      <color theme="1"/>
      <name val="Calibri"/>
      <family val="2"/>
      <charset val="1"/>
    </font>
    <font>
      <sz val="10"/>
      <name val="Arial"/>
      <family val="0"/>
    </font>
    <font>
      <sz val="10"/>
      <name val="Arial"/>
      <family val="0"/>
    </font>
    <font>
      <sz val="10"/>
      <name val="Arial"/>
      <family val="0"/>
    </font>
    <font>
      <b val="true"/>
      <sz val="16"/>
      <color rgb="FF1F3B57"/>
      <name val="Arial"/>
      <family val="0"/>
      <charset val="1"/>
    </font>
    <font>
      <i val="true"/>
      <sz val="9"/>
      <color rgb="FF777777"/>
      <name val="Arial"/>
      <family val="0"/>
      <charset val="1"/>
    </font>
    <font>
      <b val="true"/>
      <sz val="10"/>
      <name val="Arial"/>
      <family val="0"/>
      <charset val="1"/>
    </font>
    <font>
      <sz val="10"/>
      <name val="Arial"/>
      <family val="0"/>
      <charset val="1"/>
    </font>
    <font>
      <b val="true"/>
      <sz val="15"/>
      <color rgb="FF1F3B57"/>
      <name val="Arial"/>
      <family val="0"/>
      <charset val="1"/>
    </font>
    <font>
      <b val="true"/>
      <sz val="9"/>
      <name val="Arial"/>
      <family val="0"/>
      <charset val="1"/>
    </font>
    <font>
      <b val="true"/>
      <sz val="10"/>
      <color rgb="FF0000FF"/>
      <name val="Arial"/>
      <family val="0"/>
      <charset val="1"/>
    </font>
    <font>
      <b val="true"/>
      <sz val="9"/>
      <color rgb="FFFFFFFF"/>
      <name val="Arial"/>
      <family val="0"/>
      <charset val="1"/>
    </font>
  </fonts>
  <fills count="10">
    <fill>
      <patternFill patternType="none"/>
    </fill>
    <fill>
      <patternFill patternType="gray125"/>
    </fill>
    <fill>
      <patternFill patternType="solid">
        <fgColor rgb="FFFFF9E0"/>
        <bgColor rgb="FFF7F7F7"/>
      </patternFill>
    </fill>
    <fill>
      <patternFill patternType="solid">
        <fgColor rgb="FF1F3B57"/>
        <bgColor rgb="FF003366"/>
      </patternFill>
    </fill>
    <fill>
      <patternFill patternType="solid">
        <fgColor rgb="FF2E6F8E"/>
        <bgColor rgb="FF008080"/>
      </patternFill>
    </fill>
    <fill>
      <patternFill patternType="solid">
        <fgColor rgb="FF1F7A3D"/>
        <bgColor rgb="FF008080"/>
      </patternFill>
    </fill>
    <fill>
      <patternFill patternType="solid">
        <fgColor rgb="FFB8621B"/>
        <bgColor rgb="FFFF6600"/>
      </patternFill>
    </fill>
    <fill>
      <patternFill patternType="solid">
        <fgColor rgb="FF6B4E9E"/>
        <bgColor rgb="FF777777"/>
      </patternFill>
    </fill>
    <fill>
      <patternFill patternType="solid">
        <fgColor rgb="FFF7F7F7"/>
        <bgColor rgb="FFEAF3FA"/>
      </patternFill>
    </fill>
    <fill>
      <patternFill patternType="solid">
        <fgColor rgb="FFEAF3FA"/>
        <bgColor rgb="FFF7F7F7"/>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6" fillId="2"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7" fontId="10" fillId="2" borderId="0" xfId="0" applyFont="true" applyBorder="false" applyAlignment="false" applyProtection="false">
      <alignment horizontal="general" vertical="bottom" textRotation="0" wrapText="false" indent="0" shrinkToFit="false"/>
      <protection locked="true" hidden="false"/>
    </xf>
    <xf numFmtId="166" fontId="10" fillId="2" borderId="0" xfId="0" applyFont="true" applyBorder="false" applyAlignment="fals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center" vertical="center" textRotation="0" wrapText="false" indent="0" shrinkToFit="false"/>
      <protection locked="true" hidden="false"/>
    </xf>
    <xf numFmtId="164" fontId="11" fillId="4" borderId="0" xfId="0" applyFont="true" applyBorder="true" applyAlignment="true" applyProtection="false">
      <alignment horizontal="center" vertical="center" textRotation="0" wrapText="false" indent="0" shrinkToFit="false"/>
      <protection locked="true" hidden="false"/>
    </xf>
    <xf numFmtId="164" fontId="11" fillId="5" borderId="0" xfId="0" applyFont="true" applyBorder="true" applyAlignment="true" applyProtection="false">
      <alignment horizontal="center" vertical="center" textRotation="0" wrapText="false" indent="0" shrinkToFit="false"/>
      <protection locked="true" hidden="false"/>
    </xf>
    <xf numFmtId="164" fontId="11" fillId="6" borderId="0" xfId="0" applyFont="true" applyBorder="true" applyAlignment="true" applyProtection="false">
      <alignment horizontal="center" vertical="center" textRotation="0" wrapText="false" indent="0" shrinkToFit="false"/>
      <protection locked="true" hidden="false"/>
    </xf>
    <xf numFmtId="164" fontId="11" fillId="7" borderId="0" xfId="0" applyFont="true" applyBorder="true" applyAlignment="true" applyProtection="false">
      <alignment horizontal="center" vertical="center" textRotation="0" wrapText="false" indent="0" shrinkToFit="false"/>
      <protection locked="true" hidden="false"/>
    </xf>
    <xf numFmtId="164" fontId="11" fillId="3" borderId="0" xfId="0" applyFont="true" applyBorder="false" applyAlignment="true" applyProtection="false">
      <alignment horizontal="center" vertical="center" textRotation="0" wrapText="fals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11" fillId="7" borderId="1" xfId="0" applyFont="true" applyBorder="true" applyAlignment="true" applyProtection="false">
      <alignment horizontal="center" vertical="center" textRotation="0" wrapText="true" indent="0" shrinkToFit="false"/>
      <protection locked="true" hidden="false"/>
    </xf>
    <xf numFmtId="164" fontId="7" fillId="8" borderId="1" xfId="0" applyFont="true" applyBorder="true" applyAlignment="false" applyProtection="false">
      <alignment horizontal="general" vertical="bottom" textRotation="0" wrapText="false" indent="0" shrinkToFit="false"/>
      <protection locked="true" hidden="false"/>
    </xf>
    <xf numFmtId="165" fontId="7" fillId="9" borderId="1" xfId="0" applyFont="true" applyBorder="true" applyAlignment="false" applyProtection="false">
      <alignment horizontal="general" vertical="bottom" textRotation="0" wrapText="false" indent="0" shrinkToFit="false"/>
      <protection locked="true" hidden="false"/>
    </xf>
    <xf numFmtId="165" fontId="6" fillId="9" borderId="1" xfId="0" applyFont="true" applyBorder="true" applyAlignment="false" applyProtection="false">
      <alignment horizontal="general" vertical="bottom" textRotation="0" wrapText="false" indent="0" shrinkToFit="false"/>
      <protection locked="true" hidden="false"/>
    </xf>
    <xf numFmtId="167" fontId="7" fillId="9" borderId="1" xfId="0" applyFont="true" applyBorder="true" applyAlignment="false" applyProtection="false">
      <alignment horizontal="general" vertical="bottom" textRotation="0" wrapText="false" indent="0" shrinkToFit="false"/>
      <protection locked="true" hidden="false"/>
    </xf>
    <xf numFmtId="166" fontId="7" fillId="8" borderId="1" xfId="0" applyFont="true" applyBorder="true" applyAlignment="false" applyProtection="false">
      <alignment horizontal="general" vertical="bottom" textRotation="0" wrapText="false" indent="0" shrinkToFit="false"/>
      <protection locked="true" hidden="false"/>
    </xf>
    <xf numFmtId="166" fontId="7" fillId="9" borderId="1" xfId="0" applyFont="true" applyBorder="true" applyAlignment="false" applyProtection="false">
      <alignment horizontal="general" vertical="bottom" textRotation="0" wrapText="false" indent="0" shrinkToFit="false"/>
      <protection locked="true" hidden="false"/>
    </xf>
    <xf numFmtId="166" fontId="6" fillId="2" borderId="0" xfId="0" applyFont="true" applyBorder="false" applyAlignment="false" applyProtection="false">
      <alignment horizontal="general" vertical="bottom" textRotation="0" wrapText="false" indent="0" shrinkToFit="false"/>
      <protection locked="true" hidden="false"/>
    </xf>
    <xf numFmtId="164" fontId="11" fillId="3"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8" borderId="0" xfId="0" applyFont="true" applyBorder="false" applyAlignment="true" applyProtection="false">
      <alignment horizontal="general" vertical="top" textRotation="0" wrapText="true" indent="0" shrinkToFit="false"/>
      <protection locked="true" hidden="false"/>
    </xf>
    <xf numFmtId="164" fontId="7" fillId="9" borderId="0" xfId="0" applyFont="true" applyBorder="false" applyAlignment="true" applyProtection="false">
      <alignment horizontal="general" vertical="top" textRotation="0" wrapText="true" indent="0" shrinkToFit="false"/>
      <protection locked="true" hidden="false"/>
    </xf>
    <xf numFmtId="164" fontId="6" fillId="8" borderId="0" xfId="0" applyFont="true" applyBorder="false" applyAlignment="true" applyProtection="false">
      <alignment horizontal="general" vertical="top" textRotation="0" wrapText="true" indent="0" shrinkToFit="false"/>
      <protection locked="true" hidden="false"/>
    </xf>
    <xf numFmtId="164" fontId="6" fillId="9"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B57"/>
          <bgColor rgb="FF000000"/>
        </patternFill>
      </fill>
    </dxf>
    <dxf>
      <fill>
        <patternFill patternType="solid">
          <bgColor rgb="FF000000"/>
        </patternFill>
      </fill>
    </dxf>
    <dxf>
      <fill>
        <patternFill patternType="solid">
          <fgColor rgb="FFFFFFFF"/>
          <bgColor rgb="FF000000"/>
        </patternFill>
      </fill>
    </dxf>
    <dxf>
      <fill>
        <patternFill patternType="solid">
          <fgColor rgb="FFF7F7F7"/>
          <bgColor rgb="FF000000"/>
        </patternFill>
      </fill>
    </dxf>
    <dxf>
      <fill>
        <patternFill patternType="solid">
          <fgColor rgb="FFEAF3FA"/>
          <bgColor rgb="FF000000"/>
        </patternFill>
      </fill>
    </dxf>
    <dxf>
      <fill>
        <patternFill patternType="solid">
          <fgColor rgb="FF2E6F8E"/>
          <bgColor rgb="FF000000"/>
        </patternFill>
      </fill>
    </dxf>
    <dxf>
      <fill>
        <patternFill patternType="solid">
          <fgColor rgb="FF1F7A3D"/>
          <bgColor rgb="FF000000"/>
        </patternFill>
      </fill>
    </dxf>
    <dxf>
      <fill>
        <patternFill patternType="solid">
          <fgColor rgb="FFB8621B"/>
          <bgColor rgb="FF000000"/>
        </patternFill>
      </fill>
    </dxf>
    <dxf>
      <fill>
        <patternFill patternType="solid">
          <fgColor rgb="FF6B4E9E"/>
          <bgColor rgb="FF000000"/>
        </patternFill>
      </fill>
    </dxf>
  </dxfs>
  <colors>
    <indexedColors>
      <rgbColor rgb="FF000000"/>
      <rgbColor rgb="FFFFFFFF"/>
      <rgbColor rgb="FFFF0000"/>
      <rgbColor rgb="FF00FF00"/>
      <rgbColor rgb="FF0000FF"/>
      <rgbColor rgb="FFFFFF00"/>
      <rgbColor rgb="FFFF00FF"/>
      <rgbColor rgb="FF00FFFF"/>
      <rgbColor rgb="FF800000"/>
      <rgbColor rgb="FF1F7A3D"/>
      <rgbColor rgb="FF000080"/>
      <rgbColor rgb="FFB8621B"/>
      <rgbColor rgb="FF800080"/>
      <rgbColor rgb="FF2E6F8E"/>
      <rgbColor rgb="FFC0C0C0"/>
      <rgbColor rgb="FF777777"/>
      <rgbColor rgb="FF9999FF"/>
      <rgbColor rgb="FF993366"/>
      <rgbColor rgb="FFFFF9E0"/>
      <rgbColor rgb="FFEAF3FA"/>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F7F7F7"/>
      <rgbColor rgb="FFCCFFCC"/>
      <rgbColor rgb="FFFFFF99"/>
      <rgbColor rgb="FF99CCFF"/>
      <rgbColor rgb="FFFF99CC"/>
      <rgbColor rgb="FFCC99FF"/>
      <rgbColor rgb="FFFFCC99"/>
      <rgbColor rgb="FF3366FF"/>
      <rgbColor rgb="FF33CCCC"/>
      <rgbColor rgb="FF99CC00"/>
      <rgbColor rgb="FFFFCC00"/>
      <rgbColor rgb="FFFF9900"/>
      <rgbColor rgb="FFFF6600"/>
      <rgbColor rgb="FF6B4E9E"/>
      <rgbColor rgb="FF969696"/>
      <rgbColor rgb="FF003366"/>
      <rgbColor rgb="FF339966"/>
      <rgbColor rgb="FF003300"/>
      <rgbColor rgb="FF333300"/>
      <rgbColor rgb="FF993300"/>
      <rgbColor rgb="FF993366"/>
      <rgbColor rgb="FF333399"/>
      <rgbColor rgb="FF1F3B5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6"/>
    <col collapsed="false" customWidth="true" hidden="false" outlineLevel="0" max="3" min="3" style="0" width="12"/>
    <col collapsed="false" customWidth="true" hidden="false" outlineLevel="0" max="4" min="4" style="0" width="14"/>
    <col collapsed="false" customWidth="true" hidden="false" outlineLevel="0" max="5" min="5" style="0" width="16"/>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c r="D4" s="3" t="s">
        <v>5</v>
      </c>
      <c r="E4" s="3" t="s">
        <v>6</v>
      </c>
    </row>
    <row r="5" customFormat="false" ht="15" hidden="false" customHeight="false" outlineLevel="0" collapsed="false">
      <c r="A5" s="4" t="s">
        <v>7</v>
      </c>
      <c r="B5" s="4" t="n">
        <f aca="false">COUNTIF(FULL!$AL$7:$AL$128,$A5)</f>
        <v>6</v>
      </c>
      <c r="C5" s="4" t="n">
        <f aca="false">SUMIF(FULL!$AL$7:$AL$128,$A5,FULL!$F$7:$F$128)</f>
        <v>0</v>
      </c>
      <c r="D5" s="4" t="n">
        <f aca="false">SUMIF(FULL!$AL$7:$AL$128,$A5,FULL!$L$7:$L$128)</f>
        <v>300</v>
      </c>
      <c r="E5" s="4" t="n">
        <f aca="false">SUMIF(FULL!$AL$7:$AL$128,$A5,FULL!$P$7:$P$128)</f>
        <v>0</v>
      </c>
    </row>
    <row r="6" customFormat="false" ht="15" hidden="false" customHeight="false" outlineLevel="0" collapsed="false">
      <c r="A6" s="4" t="s">
        <v>8</v>
      </c>
      <c r="B6" s="4" t="n">
        <f aca="false">COUNTIF(FULL!$AL$7:$AL$128,$A6)</f>
        <v>39</v>
      </c>
      <c r="C6" s="4" t="n">
        <f aca="false">SUMIF(FULL!$AL$7:$AL$128,$A6,FULL!$F$7:$F$128)</f>
        <v>0</v>
      </c>
      <c r="D6" s="4" t="n">
        <f aca="false">SUMIF(FULL!$AL$7:$AL$128,$A6,FULL!$L$7:$L$128)</f>
        <v>1380</v>
      </c>
      <c r="E6" s="4" t="n">
        <f aca="false">SUMIF(FULL!$AL$7:$AL$128,$A6,FULL!$P$7:$P$128)</f>
        <v>941</v>
      </c>
    </row>
    <row r="7" customFormat="false" ht="15" hidden="false" customHeight="false" outlineLevel="0" collapsed="false">
      <c r="A7" s="4" t="s">
        <v>9</v>
      </c>
      <c r="B7" s="4" t="n">
        <f aca="false">COUNTIF(FULL!$AL$7:$AL$128,$A7)</f>
        <v>8</v>
      </c>
      <c r="C7" s="4" t="n">
        <f aca="false">SUMIF(FULL!$AL$7:$AL$128,$A7,FULL!$F$7:$F$128)</f>
        <v>643</v>
      </c>
      <c r="D7" s="4" t="n">
        <f aca="false">SUMIF(FULL!$AL$7:$AL$128,$A7,FULL!$L$7:$L$128)</f>
        <v>917</v>
      </c>
      <c r="E7" s="4" t="n">
        <f aca="false">SUMIF(FULL!$AL$7:$AL$128,$A7,FULL!$P$7:$P$128)</f>
        <v>342</v>
      </c>
    </row>
    <row r="8" customFormat="false" ht="15" hidden="false" customHeight="false" outlineLevel="0" collapsed="false">
      <c r="A8" s="4" t="s">
        <v>10</v>
      </c>
      <c r="B8" s="4" t="n">
        <f aca="false">COUNTIF(FULL!$AL$7:$AL$128,$A8)</f>
        <v>23</v>
      </c>
      <c r="C8" s="4" t="n">
        <f aca="false">SUMIF(FULL!$AL$7:$AL$128,$A8,FULL!$F$7:$F$128)</f>
        <v>785</v>
      </c>
      <c r="D8" s="4" t="n">
        <f aca="false">SUMIF(FULL!$AL$7:$AL$128,$A8,FULL!$L$7:$L$128)</f>
        <v>5</v>
      </c>
      <c r="E8" s="4" t="n">
        <f aca="false">SUMIF(FULL!$AL$7:$AL$128,$A8,FULL!$P$7:$P$128)</f>
        <v>5</v>
      </c>
    </row>
    <row r="9" customFormat="false" ht="15" hidden="false" customHeight="false" outlineLevel="0" collapsed="false">
      <c r="A9" s="4" t="s">
        <v>11</v>
      </c>
      <c r="B9" s="4" t="n">
        <f aca="false">COUNTIF(FULL!$AL$7:$AL$128,$A9)</f>
        <v>19</v>
      </c>
      <c r="C9" s="4" t="n">
        <f aca="false">SUMIF(FULL!$AL$7:$AL$128,$A9,FULL!$F$7:$F$128)</f>
        <v>491</v>
      </c>
      <c r="D9" s="4" t="n">
        <f aca="false">SUMIF(FULL!$AL$7:$AL$128,$A9,FULL!$L$7:$L$128)</f>
        <v>0</v>
      </c>
      <c r="E9" s="4" t="n">
        <f aca="false">SUMIF(FULL!$AL$7:$AL$128,$A9,FULL!$P$7:$P$128)</f>
        <v>0</v>
      </c>
    </row>
    <row r="10" customFormat="false" ht="15" hidden="false" customHeight="false" outlineLevel="0" collapsed="false">
      <c r="A10" s="4" t="s">
        <v>12</v>
      </c>
      <c r="B10" s="4" t="n">
        <f aca="false">COUNTIF(FULL!$AL$7:$AL$128,$A10)</f>
        <v>8</v>
      </c>
      <c r="C10" s="4" t="n">
        <f aca="false">SUMIF(FULL!$AL$7:$AL$128,$A10,FULL!$F$7:$F$128)</f>
        <v>110</v>
      </c>
      <c r="D10" s="4" t="n">
        <f aca="false">SUMIF(FULL!$AL$7:$AL$128,$A10,FULL!$L$7:$L$128)</f>
        <v>0</v>
      </c>
      <c r="E10" s="4" t="n">
        <f aca="false">SUMIF(FULL!$AL$7:$AL$128,$A10,FULL!$P$7:$P$128)</f>
        <v>0</v>
      </c>
    </row>
    <row r="11" customFormat="false" ht="15" hidden="false" customHeight="false" outlineLevel="0" collapsed="false">
      <c r="A11" s="4" t="s">
        <v>13</v>
      </c>
      <c r="B11" s="4" t="n">
        <f aca="false">COUNTIF(FULL!$AL$7:$AL$128,$A11)</f>
        <v>9</v>
      </c>
      <c r="C11" s="4" t="n">
        <f aca="false">SUMIF(FULL!$AL$7:$AL$128,$A11,FULL!$F$7:$F$128)</f>
        <v>154</v>
      </c>
      <c r="D11" s="4" t="n">
        <f aca="false">SUMIF(FULL!$AL$7:$AL$128,$A11,FULL!$L$7:$L$128)</f>
        <v>26</v>
      </c>
      <c r="E11" s="4" t="n">
        <f aca="false">SUMIF(FULL!$AL$7:$AL$128,$A11,FULL!$P$7:$P$128)</f>
        <v>26</v>
      </c>
    </row>
    <row r="12" customFormat="false" ht="15" hidden="false" customHeight="false" outlineLevel="0" collapsed="false">
      <c r="A12" s="4" t="s">
        <v>14</v>
      </c>
      <c r="B12" s="4" t="n">
        <f aca="false">COUNTIF(FULL!$AL$7:$AL$128,$A12)</f>
        <v>10</v>
      </c>
      <c r="C12" s="4" t="n">
        <f aca="false">SUMIF(FULL!$AL$7:$AL$128,$A12,FULL!$F$7:$F$128)</f>
        <v>0</v>
      </c>
      <c r="D12" s="4" t="n">
        <f aca="false">SUMIF(FULL!$AL$7:$AL$128,$A12,FULL!$L$7:$L$128)</f>
        <v>0</v>
      </c>
      <c r="E12" s="4" t="n">
        <f aca="false">SUMIF(FULL!$AL$7:$AL$128,$A12,FULL!$P$7:$P$128)</f>
        <v>0</v>
      </c>
    </row>
    <row r="13" customFormat="false" ht="15" hidden="false" customHeight="false" outlineLevel="0" collapsed="false">
      <c r="A13" s="4" t="s">
        <v>15</v>
      </c>
      <c r="B13" s="4" t="n">
        <f aca="false">COUNTIF(FULL!$AL$7:$AL$128,$A13)</f>
        <v>0</v>
      </c>
      <c r="C13" s="4" t="n">
        <f aca="false">SUMIF(FULL!$AL$7:$AL$128,$A13,FULL!$F$7:$F$128)</f>
        <v>0</v>
      </c>
      <c r="D13" s="4" t="n">
        <f aca="false">SUMIF(FULL!$AL$7:$AL$128,$A13,FULL!$L$7:$L$128)</f>
        <v>0</v>
      </c>
      <c r="E13" s="4" t="n">
        <f aca="false">SUMIF(FULL!$AL$7:$AL$128,$A13,FULL!$P$7:$P$128)</f>
        <v>0</v>
      </c>
    </row>
    <row r="14" customFormat="false" ht="15" hidden="false" customHeight="false" outlineLevel="0" collapsed="false">
      <c r="A14" s="3" t="s">
        <v>16</v>
      </c>
      <c r="B14" s="5" t="n">
        <f aca="false">SUM(B5:B13)</f>
        <v>122</v>
      </c>
      <c r="C14" s="5" t="n">
        <f aca="false">SUM(C5:C13)</f>
        <v>2183</v>
      </c>
      <c r="D14" s="5" t="n">
        <f aca="false">SUM(D5:D13)</f>
        <v>2628</v>
      </c>
      <c r="E14" s="5" t="n">
        <f aca="false">SUM(E5:E13)</f>
        <v>1314</v>
      </c>
    </row>
    <row r="16" customFormat="false" ht="15" hidden="false" customHeight="false" outlineLevel="0" collapsed="false">
      <c r="A16" s="3" t="s">
        <v>17</v>
      </c>
    </row>
    <row r="17" customFormat="false" ht="15" hidden="false" customHeight="false" outlineLevel="0" collapsed="false">
      <c r="A17" s="4" t="s">
        <v>18</v>
      </c>
      <c r="B17" s="3" t="n">
        <f aca="false">COUNTIF(FULL!$Z$7:$Z$128,"CENSURADO")</f>
        <v>32</v>
      </c>
      <c r="C17" s="4" t="s">
        <v>3</v>
      </c>
    </row>
    <row r="18" customFormat="false" ht="15" hidden="false" customHeight="false" outlineLevel="0" collapsed="false">
      <c r="A18" s="4" t="s">
        <v>19</v>
      </c>
      <c r="B18" s="3" t="n">
        <f aca="false">COUNTIF(FULL!$Z$7:$Z$128,"CONFIABLE")</f>
        <v>72</v>
      </c>
      <c r="C18" s="4" t="s">
        <v>3</v>
      </c>
    </row>
    <row r="19" customFormat="false" ht="15" hidden="false" customHeight="false" outlineLevel="0" collapsed="false">
      <c r="A19" s="4" t="s">
        <v>20</v>
      </c>
      <c r="B19" s="3" t="n">
        <f aca="false">COUNTIF(FULL!$Z$7:$Z$128,"SIN DATO")</f>
        <v>18</v>
      </c>
      <c r="C19" s="4" t="s">
        <v>3</v>
      </c>
    </row>
    <row r="20" customFormat="false" ht="15" hidden="false" customHeight="false" outlineLevel="0" collapsed="false">
      <c r="A20" s="4" t="s">
        <v>21</v>
      </c>
      <c r="B20" s="3" t="n">
        <f aca="false">ROUND(SUMIF(FULL!$Z$7:$Z$128,"CENSURADO",FULL!$I$7:$I$128),1)</f>
        <v>40.5</v>
      </c>
      <c r="C20" s="4" t="s">
        <v>22</v>
      </c>
    </row>
    <row r="21" customFormat="false" ht="15" hidden="false" customHeight="false" outlineLevel="0" collapsed="false">
      <c r="A21" s="4" t="s">
        <v>23</v>
      </c>
      <c r="B21" s="3" t="n">
        <f aca="false">ROUND(SUMIF(FULL!$Z$7:$Z$128,"CENSURADO",FULL!$J$7:$J$128),1)</f>
        <v>76.1</v>
      </c>
      <c r="C21" s="4" t="s">
        <v>22</v>
      </c>
    </row>
    <row r="22" customFormat="false" ht="15" hidden="false" customHeight="false" outlineLevel="0" collapsed="false">
      <c r="A22" s="4" t="s">
        <v>24</v>
      </c>
      <c r="B22" s="3" t="n">
        <f aca="false">IFERROR(ROUND(B21/B20,2),"")</f>
        <v>1.88</v>
      </c>
      <c r="C22" s="4" t="s">
        <v>25</v>
      </c>
    </row>
    <row r="24" customFormat="false" ht="15" hidden="false" customHeight="false" outlineLevel="0" collapsed="false">
      <c r="A24" s="3" t="s">
        <v>26</v>
      </c>
    </row>
    <row r="25" customFormat="false" ht="15" hidden="false" customHeight="false" outlineLevel="0" collapsed="false">
      <c r="A25" s="4" t="s">
        <v>27</v>
      </c>
      <c r="B25" s="3" t="n">
        <f aca="false">SUM(FULL!$L$7:$L$128)</f>
        <v>2628</v>
      </c>
      <c r="C25" s="4" t="s">
        <v>28</v>
      </c>
    </row>
    <row r="26" customFormat="false" ht="15" hidden="false" customHeight="false" outlineLevel="0" collapsed="false">
      <c r="A26" s="4" t="s">
        <v>29</v>
      </c>
      <c r="B26" s="3" t="n">
        <f aca="false">SUM(FULL!$P$7:$P$128)</f>
        <v>1314</v>
      </c>
      <c r="C26" s="4" t="s">
        <v>28</v>
      </c>
    </row>
    <row r="27" customFormat="false" ht="15" hidden="false" customHeight="false" outlineLevel="0" collapsed="false">
      <c r="A27" s="4" t="s">
        <v>30</v>
      </c>
      <c r="B27" s="3" t="n">
        <f aca="false">SUM(FULL!$L$7:$L$128)-SUM(FULL!$P$7:$P$128)</f>
        <v>1314</v>
      </c>
      <c r="C27" s="4" t="s">
        <v>28</v>
      </c>
    </row>
    <row r="28" customFormat="false" ht="15" hidden="false" customHeight="false" outlineLevel="0" collapsed="false">
      <c r="A28" s="4" t="s">
        <v>31</v>
      </c>
      <c r="B28" s="3" t="n">
        <f aca="false">SUMPRODUCT((FULL!$F$7:$F$128=0)*(FULL!$L$7:$L$128&gt;0)*(FULL!$O$7:$O$128=0))</f>
        <v>6</v>
      </c>
      <c r="C28" s="4" t="s">
        <v>3</v>
      </c>
    </row>
    <row r="30" customFormat="false" ht="15" hidden="false" customHeight="false" outlineLevel="0" collapsed="false">
      <c r="A30" s="3" t="s">
        <v>32</v>
      </c>
    </row>
    <row r="31" customFormat="false" ht="15" hidden="false" customHeight="false" outlineLevel="0" collapsed="false">
      <c r="A31" s="4" t="s">
        <v>33</v>
      </c>
      <c r="B31" s="6" t="n">
        <v>394485</v>
      </c>
      <c r="C31" s="4"/>
    </row>
    <row r="32" customFormat="false" ht="15" hidden="false" customHeight="false" outlineLevel="0" collapsed="false">
      <c r="A32" s="4" t="s">
        <v>34</v>
      </c>
      <c r="B32" s="6" t="n">
        <f aca="false">SUM(FULL!$AH$7:$AH$128)</f>
        <v>482230</v>
      </c>
      <c r="C32" s="4"/>
    </row>
    <row r="33" customFormat="false" ht="15" hidden="false" customHeight="false" outlineLevel="0" collapsed="false">
      <c r="A33" s="3" t="s">
        <v>35</v>
      </c>
      <c r="B33" s="6" t="n">
        <f aca="false">B31+B32</f>
        <v>876715</v>
      </c>
    </row>
    <row r="35" customFormat="false" ht="15" hidden="false" customHeight="false" outlineLevel="0" collapsed="false">
      <c r="A35" s="3" t="s">
        <v>36</v>
      </c>
    </row>
    <row r="36" customFormat="false" ht="15" hidden="false" customHeight="false" outlineLevel="0" collapsed="false">
      <c r="A36" s="4" t="s">
        <v>37</v>
      </c>
      <c r="B36" s="3" t="n">
        <f aca="false">SUM(FULL!$AF$7:$AF$128)</f>
        <v>875</v>
      </c>
      <c r="C36" s="4" t="s">
        <v>28</v>
      </c>
    </row>
    <row r="37" customFormat="false" ht="15" hidden="false" customHeight="false" outlineLevel="0" collapsed="false">
      <c r="A37" s="4" t="s">
        <v>38</v>
      </c>
      <c r="B37" s="6" t="n">
        <f aca="false">SUM(FULL!$AI$7:$AI$128)</f>
        <v>3513125</v>
      </c>
      <c r="C37" s="4"/>
    </row>
    <row r="38" customFormat="false" ht="15" hidden="false" customHeight="false" outlineLevel="0" collapsed="false">
      <c r="A38" s="4" t="s">
        <v>39</v>
      </c>
      <c r="B38" s="3" t="n">
        <f aca="false">SUMIF(FULL!$AL$7:$AL$128,"STOCK VIEJO EN RIESGO",FULL!$AF$7:$AF$128)</f>
        <v>81</v>
      </c>
      <c r="C38" s="4" t="s">
        <v>28</v>
      </c>
    </row>
    <row r="39" customFormat="false" ht="15" hidden="false" customHeight="false" outlineLevel="0" collapsed="false">
      <c r="A39" s="4" t="s">
        <v>40</v>
      </c>
      <c r="B39" s="6" t="n">
        <f aca="false">SUMIF(FULL!$AL$7:$AL$128,"STOCK VIEJO EN RIESGO",FULL!$AI$7:$AI$128)</f>
        <v>325215</v>
      </c>
      <c r="C39" s="4"/>
    </row>
    <row r="41" customFormat="false" ht="15" hidden="false" customHeight="false" outlineLevel="0" collapsed="false">
      <c r="A41" s="3" t="s">
        <v>41</v>
      </c>
    </row>
    <row r="42" customFormat="false" ht="15" hidden="false" customHeight="false" outlineLevel="0" collapsed="false">
      <c r="A42" s="4" t="s">
        <v>42</v>
      </c>
      <c r="B42" s="3" t="n">
        <f aca="false">SUM(FULL!$F$7:$F$128)</f>
        <v>2183</v>
      </c>
      <c r="C42" s="4" t="s">
        <v>28</v>
      </c>
    </row>
    <row r="43" customFormat="false" ht="15" hidden="false" customHeight="false" outlineLevel="0" collapsed="false">
      <c r="A43" s="4" t="s">
        <v>43</v>
      </c>
      <c r="B43" s="6" t="n">
        <f aca="false">SUM(FULL!$AK$7:$AK$128)</f>
        <v>14766</v>
      </c>
      <c r="C43" s="4"/>
    </row>
    <row r="44" customFormat="false" ht="15" hidden="false" customHeight="false" outlineLevel="0" collapsed="false">
      <c r="A44" s="4" t="s">
        <v>44</v>
      </c>
      <c r="B44" s="3" t="n">
        <f aca="false">COUNTIF(FULL!$AJ$7:$AJ$128,0)</f>
        <v>19</v>
      </c>
      <c r="C44" s="4" t="s">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1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2"/>
    <col collapsed="false" customWidth="true" hidden="false" outlineLevel="0" max="3" min="3" style="0" width="26"/>
    <col collapsed="false" customWidth="true" hidden="false" outlineLevel="0" max="4" min="4" style="0" width="22"/>
    <col collapsed="false" customWidth="true" hidden="false" outlineLevel="0" max="5" min="5" style="0" width="40"/>
    <col collapsed="false" customWidth="true" hidden="false" outlineLevel="0" max="6" min="6" style="0" width="11"/>
    <col collapsed="false" customWidth="true" hidden="false" outlineLevel="0" max="7" min="7" style="0" width="12"/>
    <col collapsed="false" customWidth="true" hidden="false" outlineLevel="0" max="8" min="8" style="0" width="11"/>
    <col collapsed="false" customWidth="true" hidden="false" outlineLevel="0" max="9" min="9" style="0" width="12"/>
    <col collapsed="false" customWidth="true" hidden="false" outlineLevel="0" max="11" min="10" style="0" width="13"/>
    <col collapsed="false" customWidth="true" hidden="false" outlineLevel="0" max="12" min="12" style="0" width="10"/>
    <col collapsed="false" customWidth="true" hidden="false" outlineLevel="0" max="13" min="13" style="0" width="11"/>
    <col collapsed="false" customWidth="true" hidden="false" outlineLevel="0" max="14" min="14" style="0" width="10"/>
    <col collapsed="false" customWidth="true" hidden="false" outlineLevel="0" max="15" min="15" style="0" width="11"/>
    <col collapsed="false" customWidth="true" hidden="false" outlineLevel="0" max="17" min="16" style="0" width="13"/>
    <col collapsed="false" customWidth="true" hidden="false" outlineLevel="0" max="18" min="18" style="0" width="6"/>
    <col collapsed="false" customWidth="true" hidden="false" outlineLevel="0" max="19" min="19" style="0" width="9"/>
    <col collapsed="false" customWidth="true" hidden="false" outlineLevel="0" max="23" min="20" style="0" width="11"/>
    <col collapsed="false" customWidth="true" hidden="false" outlineLevel="0" max="24" min="24" style="0" width="12"/>
    <col collapsed="false" customWidth="true" hidden="false" outlineLevel="0" max="25" min="25" style="0" width="9"/>
    <col collapsed="false" customWidth="true" hidden="false" outlineLevel="0" max="26" min="26" style="0" width="12"/>
    <col collapsed="false" customWidth="true" hidden="false" outlineLevel="0" max="27" min="27" style="0" width="8"/>
    <col collapsed="false" customWidth="true" hidden="false" outlineLevel="0" max="28" min="28" style="0" width="11"/>
    <col collapsed="false" customWidth="true" hidden="false" outlineLevel="0" max="29" min="29" style="0" width="12"/>
    <col collapsed="false" customWidth="true" hidden="false" outlineLevel="0" max="30" min="30" style="0" width="8"/>
    <col collapsed="false" customWidth="true" hidden="false" outlineLevel="0" max="33" min="31" style="0" width="11"/>
    <col collapsed="false" customWidth="true" hidden="false" outlineLevel="0" max="35" min="34" style="0" width="12"/>
    <col collapsed="false" customWidth="true" hidden="false" outlineLevel="0" max="36" min="36" style="0" width="9"/>
    <col collapsed="false" customWidth="true" hidden="false" outlineLevel="0" max="37" min="37" style="0" width="12"/>
    <col collapsed="false" customWidth="true" hidden="false" outlineLevel="0" max="38" min="38" style="0" width="26"/>
  </cols>
  <sheetData>
    <row r="1" customFormat="false" ht="18.55" hidden="false" customHeight="false" outlineLevel="0" collapsed="false">
      <c r="A1" s="7" t="s">
        <v>45</v>
      </c>
    </row>
    <row r="2" customFormat="false" ht="15" hidden="false" customHeight="false" outlineLevel="0" collapsed="false">
      <c r="A2" s="2" t="s">
        <v>46</v>
      </c>
    </row>
    <row r="3" customFormat="false" ht="15" hidden="false" customHeight="false" outlineLevel="0" collapsed="false">
      <c r="A3" s="8" t="s">
        <v>47</v>
      </c>
      <c r="C3" s="9" t="n">
        <v>3</v>
      </c>
      <c r="D3" s="8" t="s">
        <v>48</v>
      </c>
      <c r="G3" s="9" t="n">
        <v>32</v>
      </c>
      <c r="H3" s="8" t="s">
        <v>49</v>
      </c>
      <c r="J3" s="10" t="n">
        <v>46245</v>
      </c>
      <c r="K3" s="8" t="s">
        <v>50</v>
      </c>
      <c r="N3" s="11" t="n">
        <v>470</v>
      </c>
      <c r="O3" s="8" t="s">
        <v>51</v>
      </c>
      <c r="Q3" s="11" t="n">
        <v>4485</v>
      </c>
    </row>
    <row r="5" customFormat="false" ht="15" hidden="false" customHeight="false" outlineLevel="0" collapsed="false">
      <c r="A5" s="12" t="s">
        <v>52</v>
      </c>
      <c r="B5" s="12"/>
      <c r="C5" s="12"/>
      <c r="D5" s="12"/>
      <c r="E5" s="12"/>
      <c r="F5" s="12"/>
      <c r="G5" s="12"/>
      <c r="H5" s="12"/>
      <c r="I5" s="12"/>
      <c r="J5" s="12"/>
      <c r="K5" s="12"/>
      <c r="L5" s="12"/>
      <c r="M5" s="12"/>
      <c r="N5" s="12"/>
      <c r="O5" s="12"/>
      <c r="P5" s="12"/>
      <c r="Q5" s="13" t="s">
        <v>53</v>
      </c>
      <c r="R5" s="13"/>
      <c r="S5" s="13"/>
      <c r="T5" s="14" t="s">
        <v>54</v>
      </c>
      <c r="U5" s="14"/>
      <c r="V5" s="14"/>
      <c r="W5" s="14"/>
      <c r="X5" s="14"/>
      <c r="Y5" s="14"/>
      <c r="Z5" s="14"/>
      <c r="AA5" s="14"/>
      <c r="AB5" s="15" t="s">
        <v>55</v>
      </c>
      <c r="AC5" s="15"/>
      <c r="AD5" s="16" t="s">
        <v>56</v>
      </c>
      <c r="AE5" s="16"/>
      <c r="AF5" s="16"/>
      <c r="AG5" s="16"/>
      <c r="AH5" s="16"/>
      <c r="AI5" s="16"/>
      <c r="AJ5" s="13" t="s">
        <v>41</v>
      </c>
      <c r="AK5" s="13"/>
      <c r="AL5" s="17" t="s">
        <v>57</v>
      </c>
    </row>
    <row r="6" customFormat="false" ht="48" hidden="false" customHeight="true" outlineLevel="0" collapsed="false">
      <c r="A6" s="18" t="s">
        <v>58</v>
      </c>
      <c r="B6" s="18" t="s">
        <v>59</v>
      </c>
      <c r="C6" s="18" t="s">
        <v>60</v>
      </c>
      <c r="D6" s="18" t="s">
        <v>61</v>
      </c>
      <c r="E6" s="18" t="s">
        <v>62</v>
      </c>
      <c r="F6" s="18" t="s">
        <v>63</v>
      </c>
      <c r="G6" s="18" t="s">
        <v>64</v>
      </c>
      <c r="H6" s="18" t="s">
        <v>65</v>
      </c>
      <c r="I6" s="18" t="s">
        <v>66</v>
      </c>
      <c r="J6" s="18" t="s">
        <v>67</v>
      </c>
      <c r="K6" s="18" t="s">
        <v>68</v>
      </c>
      <c r="L6" s="18" t="s">
        <v>5</v>
      </c>
      <c r="M6" s="18" t="s">
        <v>69</v>
      </c>
      <c r="N6" s="18" t="s">
        <v>70</v>
      </c>
      <c r="O6" s="18" t="s">
        <v>71</v>
      </c>
      <c r="P6" s="18" t="s">
        <v>72</v>
      </c>
      <c r="Q6" s="19" t="s">
        <v>73</v>
      </c>
      <c r="R6" s="19" t="s">
        <v>74</v>
      </c>
      <c r="S6" s="19" t="s">
        <v>75</v>
      </c>
      <c r="T6" s="20" t="s">
        <v>76</v>
      </c>
      <c r="U6" s="20" t="s">
        <v>77</v>
      </c>
      <c r="V6" s="20" t="s">
        <v>78</v>
      </c>
      <c r="W6" s="20" t="s">
        <v>79</v>
      </c>
      <c r="X6" s="20" t="s">
        <v>80</v>
      </c>
      <c r="Y6" s="20" t="s">
        <v>81</v>
      </c>
      <c r="Z6" s="20" t="s">
        <v>82</v>
      </c>
      <c r="AA6" s="20" t="s">
        <v>83</v>
      </c>
      <c r="AB6" s="21" t="s">
        <v>84</v>
      </c>
      <c r="AC6" s="21" t="s">
        <v>85</v>
      </c>
      <c r="AD6" s="22" t="s">
        <v>86</v>
      </c>
      <c r="AE6" s="22" t="s">
        <v>87</v>
      </c>
      <c r="AF6" s="22" t="s">
        <v>88</v>
      </c>
      <c r="AG6" s="22" t="s">
        <v>89</v>
      </c>
      <c r="AH6" s="22" t="s">
        <v>90</v>
      </c>
      <c r="AI6" s="22" t="s">
        <v>91</v>
      </c>
      <c r="AJ6" s="19" t="s">
        <v>92</v>
      </c>
      <c r="AK6" s="19" t="s">
        <v>93</v>
      </c>
      <c r="AL6" s="18" t="s">
        <v>2</v>
      </c>
    </row>
    <row r="7" customFormat="false" ht="15" hidden="false" customHeight="false" outlineLevel="0" collapsed="false">
      <c r="A7" s="4" t="s">
        <v>94</v>
      </c>
      <c r="B7" s="23" t="s">
        <v>95</v>
      </c>
      <c r="C7" s="23" t="s">
        <v>96</v>
      </c>
      <c r="D7" s="23" t="s">
        <v>97</v>
      </c>
      <c r="E7" s="23" t="s">
        <v>98</v>
      </c>
      <c r="F7" s="23" t="n">
        <v>566</v>
      </c>
      <c r="G7" s="23" t="n">
        <v>0</v>
      </c>
      <c r="H7" s="23" t="n">
        <v>1835</v>
      </c>
      <c r="I7" s="24" t="n">
        <f aca="false">ROUND($H7/30,2)</f>
        <v>61.17</v>
      </c>
      <c r="J7" s="25" t="n">
        <f aca="false">IF($Z7="CENSURADO",ROUND($T7/MAX($V7,3),2),ROUND($T7/$G$3,2))</f>
        <v>61.47</v>
      </c>
      <c r="K7" s="24" t="n">
        <f aca="false">ROUNDUP($J7*$C$3*7,0)</f>
        <v>1291</v>
      </c>
      <c r="L7" s="24" t="n">
        <f aca="false">MAX(0,$K7-$F7-$G7)</f>
        <v>725</v>
      </c>
      <c r="M7" s="23" t="n">
        <v>160</v>
      </c>
      <c r="N7" s="23" t="n">
        <v>-1</v>
      </c>
      <c r="O7" s="24" t="n">
        <f aca="false">$M7+$N7</f>
        <v>159</v>
      </c>
      <c r="P7" s="25" t="n">
        <f aca="false">MIN($L7,$O7)</f>
        <v>159</v>
      </c>
      <c r="Q7" s="23" t="s">
        <v>99</v>
      </c>
      <c r="R7" s="23" t="n">
        <v>12</v>
      </c>
      <c r="S7" s="23" t="s">
        <v>100</v>
      </c>
      <c r="T7" s="23" t="n">
        <v>1967</v>
      </c>
      <c r="U7" s="23" t="n">
        <v>32</v>
      </c>
      <c r="V7" s="23" t="n">
        <v>32</v>
      </c>
      <c r="W7" s="23" t="n">
        <v>0</v>
      </c>
      <c r="X7" s="23" t="n">
        <v>1560</v>
      </c>
      <c r="Y7" s="24" t="n">
        <f aca="false">IF($X7=0,"",ROUND($H7/$X7,2))</f>
        <v>1.18</v>
      </c>
      <c r="Z7" s="24" t="str">
        <f aca="false">IF(AND($F7=0,$T7&gt;=5,$W7&gt;=3),"CENSURADO",IF(AND($Y7&lt;&gt;"",$Y7&gt;=3,$T7&gt;=10),"CENSURADO",IF($T7=0,"SIN DATO","CONFIABLE")))</f>
        <v>CONFIABLE</v>
      </c>
      <c r="AA7" s="24" t="n">
        <f aca="false">IF($I7=0,"",ROUND($J7/MAX($I7,0.01),2))</f>
        <v>1</v>
      </c>
      <c r="AB7" s="24" t="n">
        <f aca="false">IF($J7&lt;=0,"",ROUND(($F7+$G7)/$J7,0))</f>
        <v>9</v>
      </c>
      <c r="AC7" s="26" t="n">
        <f aca="false">IF($AB7="","",$J$3+$AB7)</f>
        <v>46254</v>
      </c>
      <c r="AD7" s="23" t="n">
        <v>0</v>
      </c>
      <c r="AE7" s="23" t="n">
        <v>170</v>
      </c>
      <c r="AF7" s="23" t="n">
        <v>681</v>
      </c>
      <c r="AG7" s="24" t="n">
        <f aca="false">IF($AF7=0,"",MAX(0,180-$AE7))</f>
        <v>10</v>
      </c>
      <c r="AH7" s="27" t="n">
        <v>320070</v>
      </c>
      <c r="AI7" s="28" t="n">
        <f aca="false">IF($AF7=0,"",$AF7*$Q$3-$AF7*$N$3)</f>
        <v>2734215</v>
      </c>
      <c r="AJ7" s="23" t="n">
        <v>2.81</v>
      </c>
      <c r="AK7" s="28" t="n">
        <f aca="false">ROUND($F7*$AJ7,0)</f>
        <v>1590</v>
      </c>
      <c r="AL7" s="25" t="str">
        <f aca="false">IF(AND($F7=0,$T7&gt;0,$O7=0),"QUIEBRE Y SIN STOCK PARA ENVIAR",IF(AND($F7=0,$T7&gt;0),"QUIEBRE",IF($F7=0,"SIN STOCK SIN DEMANDA",IF(AND($AF7&gt;0,$AG7&lt;&gt;"",OR($AB7="",$AB7&gt;$AG7)),"STOCK VIEJO EN RIESGO",IF(AND($T7=0,$H7=0),"SIN ROTACION",IF($AB7="","-",IF($AB7&lt;14,"REPONER",IF($AB7&gt;84,"SOBRE-STOCK","EN RANGO"))))))))</f>
        <v>REPONER</v>
      </c>
    </row>
    <row r="8" customFormat="false" ht="15" hidden="false" customHeight="false" outlineLevel="0" collapsed="false">
      <c r="A8" s="4" t="s">
        <v>94</v>
      </c>
      <c r="B8" s="23" t="s">
        <v>101</v>
      </c>
      <c r="C8" s="23" t="s">
        <v>102</v>
      </c>
      <c r="D8" s="23" t="s">
        <v>103</v>
      </c>
      <c r="E8" s="23" t="s">
        <v>104</v>
      </c>
      <c r="F8" s="23" t="n">
        <v>0</v>
      </c>
      <c r="G8" s="23" t="n">
        <v>0</v>
      </c>
      <c r="H8" s="23" t="n">
        <v>396</v>
      </c>
      <c r="I8" s="24" t="n">
        <f aca="false">ROUND($H8/30,2)</f>
        <v>13.2</v>
      </c>
      <c r="J8" s="25" t="n">
        <f aca="false">IF($Z8="CENSURADO",ROUND($T8/MAX($V8,3),2),ROUND($T8/$G$3,2))</f>
        <v>15.88</v>
      </c>
      <c r="K8" s="24" t="n">
        <f aca="false">ROUNDUP($J8*$C$3*7,0)</f>
        <v>334</v>
      </c>
      <c r="L8" s="24" t="n">
        <f aca="false">MAX(0,$K8-$F8-$G8)</f>
        <v>334</v>
      </c>
      <c r="M8" s="23" t="n">
        <v>30</v>
      </c>
      <c r="N8" s="23" t="n">
        <v>-5</v>
      </c>
      <c r="O8" s="24" t="n">
        <f aca="false">$M8+$N8</f>
        <v>25</v>
      </c>
      <c r="P8" s="25" t="n">
        <f aca="false">MIN($L8,$O8)</f>
        <v>25</v>
      </c>
      <c r="Q8" s="23"/>
      <c r="R8" s="23" t="n">
        <v>2</v>
      </c>
      <c r="S8" s="23" t="s">
        <v>100</v>
      </c>
      <c r="T8" s="23" t="n">
        <v>397</v>
      </c>
      <c r="U8" s="23" t="n">
        <v>25</v>
      </c>
      <c r="V8" s="23" t="n">
        <v>25</v>
      </c>
      <c r="W8" s="23" t="n">
        <v>7</v>
      </c>
      <c r="X8" s="23" t="n">
        <v>155</v>
      </c>
      <c r="Y8" s="24" t="n">
        <f aca="false">IF($X8=0,"",ROUND($H8/$X8,2))</f>
        <v>2.55</v>
      </c>
      <c r="Z8" s="24" t="str">
        <f aca="false">IF(AND($F8=0,$T8&gt;=5,$W8&gt;=3),"CENSURADO",IF(AND($Y8&lt;&gt;"",$Y8&gt;=3,$T8&gt;=10),"CENSURADO",IF($T8=0,"SIN DATO","CONFIABLE")))</f>
        <v>CENSURADO</v>
      </c>
      <c r="AA8" s="24" t="n">
        <f aca="false">IF($I8=0,"",ROUND($J8/MAX($I8,0.01),2))</f>
        <v>1.2</v>
      </c>
      <c r="AB8" s="24" t="n">
        <f aca="false">IF($J8&lt;=0,"",ROUND(($F8+$G8)/$J8,0))</f>
        <v>0</v>
      </c>
      <c r="AC8" s="26" t="n">
        <f aca="false">IF($AB8="","",$J$3+$AB8)</f>
        <v>46245</v>
      </c>
      <c r="AD8" s="23" t="n">
        <v>0</v>
      </c>
      <c r="AE8" s="23" t="n">
        <v>0</v>
      </c>
      <c r="AF8" s="23" t="n">
        <v>0</v>
      </c>
      <c r="AG8" s="24" t="str">
        <f aca="false">IF($AF8=0,"",MAX(0,180-$AE8))</f>
        <v/>
      </c>
      <c r="AH8" s="27" t="n">
        <v>0</v>
      </c>
      <c r="AI8" s="28" t="str">
        <f aca="false">IF($AF8=0,"",$AF8*$Q$3-$AF8*$N$3)</f>
        <v/>
      </c>
      <c r="AJ8" s="23" t="n">
        <v>2.64</v>
      </c>
      <c r="AK8" s="28" t="n">
        <f aca="false">ROUND($F8*$AJ8,0)</f>
        <v>0</v>
      </c>
      <c r="AL8" s="25" t="str">
        <f aca="false">IF(AND($F8=0,$T8&gt;0,$O8=0),"QUIEBRE Y SIN STOCK PARA ENVIAR",IF(AND($F8=0,$T8&gt;0),"QUIEBRE",IF($F8=0,"SIN STOCK SIN DEMANDA",IF(AND($AF8&gt;0,$AG8&lt;&gt;"",OR($AB8="",$AB8&gt;$AG8)),"STOCK VIEJO EN RIESGO",IF(AND($T8=0,$H8=0),"SIN ROTACION",IF($AB8="","-",IF($AB8&lt;14,"REPONER",IF($AB8&gt;84,"SOBRE-STOCK","EN RANGO"))))))))</f>
        <v>QUIEBRE</v>
      </c>
    </row>
    <row r="9" customFormat="false" ht="15" hidden="false" customHeight="false" outlineLevel="0" collapsed="false">
      <c r="A9" s="4" t="s">
        <v>94</v>
      </c>
      <c r="B9" s="23" t="s">
        <v>105</v>
      </c>
      <c r="C9" s="23" t="s">
        <v>106</v>
      </c>
      <c r="D9" s="23" t="s">
        <v>107</v>
      </c>
      <c r="E9" s="23" t="s">
        <v>108</v>
      </c>
      <c r="F9" s="23" t="n">
        <v>67</v>
      </c>
      <c r="G9" s="23" t="n">
        <v>210</v>
      </c>
      <c r="H9" s="23" t="n">
        <v>204</v>
      </c>
      <c r="I9" s="24" t="n">
        <f aca="false">ROUND($H9/30,2)</f>
        <v>6.8</v>
      </c>
      <c r="J9" s="25" t="n">
        <f aca="false">IF($Z9="CENSURADO",ROUND($T9/MAX($V9,3),2),ROUND($T9/$G$3,2))</f>
        <v>9.69</v>
      </c>
      <c r="K9" s="24" t="n">
        <f aca="false">ROUNDUP($J9*$C$3*7,0)</f>
        <v>204</v>
      </c>
      <c r="L9" s="24" t="n">
        <f aca="false">MAX(0,$K9-$F9-$G9)</f>
        <v>0</v>
      </c>
      <c r="M9" s="23" t="n">
        <v>5687</v>
      </c>
      <c r="N9" s="23" t="n">
        <v>1169</v>
      </c>
      <c r="O9" s="24" t="n">
        <f aca="false">$M9+$N9</f>
        <v>6856</v>
      </c>
      <c r="P9" s="25" t="n">
        <f aca="false">MIN($L9,$O9)</f>
        <v>0</v>
      </c>
      <c r="Q9" s="23" t="s">
        <v>99</v>
      </c>
      <c r="R9" s="23" t="n">
        <v>2</v>
      </c>
      <c r="S9" s="23" t="s">
        <v>100</v>
      </c>
      <c r="T9" s="23" t="n">
        <v>310</v>
      </c>
      <c r="U9" s="23" t="n">
        <v>26</v>
      </c>
      <c r="V9" s="23" t="n">
        <v>30</v>
      </c>
      <c r="W9" s="23" t="n">
        <v>1</v>
      </c>
      <c r="X9" s="23" t="n">
        <v>153</v>
      </c>
      <c r="Y9" s="24" t="n">
        <f aca="false">IF($X9=0,"",ROUND($H9/$X9,2))</f>
        <v>1.33</v>
      </c>
      <c r="Z9" s="24" t="str">
        <f aca="false">IF(AND($F9=0,$T9&gt;=5,$W9&gt;=3),"CENSURADO",IF(AND($Y9&lt;&gt;"",$Y9&gt;=3,$T9&gt;=10),"CENSURADO",IF($T9=0,"SIN DATO","CONFIABLE")))</f>
        <v>CONFIABLE</v>
      </c>
      <c r="AA9" s="24" t="n">
        <f aca="false">IF($I9=0,"",ROUND($J9/MAX($I9,0.01),2))</f>
        <v>1.43</v>
      </c>
      <c r="AB9" s="24" t="n">
        <f aca="false">IF($J9&lt;=0,"",ROUND(($F9+$G9)/$J9,0))</f>
        <v>29</v>
      </c>
      <c r="AC9" s="26" t="n">
        <f aca="false">IF($AB9="","",$J$3+$AB9)</f>
        <v>46274</v>
      </c>
      <c r="AD9" s="23" t="n">
        <v>0</v>
      </c>
      <c r="AE9" s="23" t="n">
        <v>0</v>
      </c>
      <c r="AF9" s="23" t="n">
        <v>0</v>
      </c>
      <c r="AG9" s="24" t="str">
        <f aca="false">IF($AF9=0,"",MAX(0,180-$AE9))</f>
        <v/>
      </c>
      <c r="AH9" s="27" t="n">
        <v>0</v>
      </c>
      <c r="AI9" s="28" t="str">
        <f aca="false">IF($AF9=0,"",$AF9*$Q$3-$AF9*$N$3)</f>
        <v/>
      </c>
      <c r="AJ9" s="23" t="n">
        <v>2.65</v>
      </c>
      <c r="AK9" s="28" t="n">
        <f aca="false">ROUND($F9*$AJ9,0)</f>
        <v>178</v>
      </c>
      <c r="AL9" s="25" t="str">
        <f aca="false">IF(AND($F9=0,$T9&gt;0,$O9=0),"QUIEBRE Y SIN STOCK PARA ENVIAR",IF(AND($F9=0,$T9&gt;0),"QUIEBRE",IF($F9=0,"SIN STOCK SIN DEMANDA",IF(AND($AF9&gt;0,$AG9&lt;&gt;"",OR($AB9="",$AB9&gt;$AG9)),"STOCK VIEJO EN RIESGO",IF(AND($T9=0,$H9=0),"SIN ROTACION",IF($AB9="","-",IF($AB9&lt;14,"REPONER",IF($AB9&gt;84,"SOBRE-STOCK","EN RANGO"))))))))</f>
        <v>EN RANGO</v>
      </c>
    </row>
    <row r="10" customFormat="false" ht="15" hidden="false" customHeight="false" outlineLevel="0" collapsed="false">
      <c r="A10" s="4" t="s">
        <v>94</v>
      </c>
      <c r="B10" s="23" t="s">
        <v>109</v>
      </c>
      <c r="C10" s="23" t="s">
        <v>110</v>
      </c>
      <c r="D10" s="23" t="s">
        <v>111</v>
      </c>
      <c r="E10" s="23" t="s">
        <v>112</v>
      </c>
      <c r="F10" s="23" t="n">
        <v>0</v>
      </c>
      <c r="G10" s="23" t="n">
        <v>0</v>
      </c>
      <c r="H10" s="23" t="n">
        <v>0</v>
      </c>
      <c r="I10" s="24" t="n">
        <f aca="false">ROUND($H10/30,2)</f>
        <v>0</v>
      </c>
      <c r="J10" s="25" t="n">
        <f aca="false">IF($Z10="CENSURADO",ROUND($T10/MAX($V10,3),2),ROUND($T10/$G$3,2))</f>
        <v>9.16</v>
      </c>
      <c r="K10" s="24" t="n">
        <f aca="false">ROUNDUP($J10*$C$3*7,0)</f>
        <v>193</v>
      </c>
      <c r="L10" s="24" t="n">
        <f aca="false">MAX(0,$K10-$F10-$G10)</f>
        <v>193</v>
      </c>
      <c r="M10" s="23" t="n">
        <v>519</v>
      </c>
      <c r="N10" s="23" t="n">
        <v>1392</v>
      </c>
      <c r="O10" s="24" t="n">
        <f aca="false">$M10+$N10</f>
        <v>1911</v>
      </c>
      <c r="P10" s="25" t="n">
        <f aca="false">MIN($L10,$O10)</f>
        <v>193</v>
      </c>
      <c r="Q10" s="23" t="s">
        <v>99</v>
      </c>
      <c r="R10" s="23" t="n">
        <v>1</v>
      </c>
      <c r="S10" s="23" t="s">
        <v>100</v>
      </c>
      <c r="T10" s="23" t="n">
        <v>293</v>
      </c>
      <c r="U10" s="23" t="n">
        <v>28</v>
      </c>
      <c r="V10" s="23" t="n">
        <v>31</v>
      </c>
      <c r="W10" s="23" t="n">
        <v>1</v>
      </c>
      <c r="X10" s="23" t="n">
        <v>0</v>
      </c>
      <c r="Y10" s="24" t="str">
        <f aca="false">IF($X10=0,"",ROUND($H10/$X10,2))</f>
        <v/>
      </c>
      <c r="Z10" s="24" t="str">
        <f aca="false">IF(AND($F10=0,$T10&gt;=5,$W10&gt;=3),"CENSURADO",IF(AND($Y10&lt;&gt;"",$Y10&gt;=3,$T10&gt;=10),"CENSURADO",IF($T10=0,"SIN DATO","CONFIABLE")))</f>
        <v>CONFIABLE</v>
      </c>
      <c r="AA10" s="24" t="str">
        <f aca="false">IF($I10=0,"",ROUND($J10/MAX($I10,0.01),2))</f>
        <v/>
      </c>
      <c r="AB10" s="24" t="n">
        <f aca="false">IF($J10&lt;=0,"",ROUND(($F10+$G10)/$J10,0))</f>
        <v>0</v>
      </c>
      <c r="AC10" s="26" t="n">
        <f aca="false">IF($AB10="","",$J$3+$AB10)</f>
        <v>46245</v>
      </c>
      <c r="AD10" s="23" t="n">
        <v>0</v>
      </c>
      <c r="AE10" s="23" t="n">
        <v>0</v>
      </c>
      <c r="AF10" s="23" t="n">
        <v>0</v>
      </c>
      <c r="AG10" s="24" t="str">
        <f aca="false">IF($AF10=0,"",MAX(0,180-$AE10))</f>
        <v/>
      </c>
      <c r="AH10" s="27" t="n">
        <v>0</v>
      </c>
      <c r="AI10" s="28" t="str">
        <f aca="false">IF($AF10=0,"",$AF10*$Q$3-$AF10*$N$3)</f>
        <v/>
      </c>
      <c r="AJ10" s="23" t="n">
        <v>2.15</v>
      </c>
      <c r="AK10" s="28" t="n">
        <f aca="false">ROUND($F10*$AJ10,0)</f>
        <v>0</v>
      </c>
      <c r="AL10" s="25" t="str">
        <f aca="false">IF(AND($F10=0,$T10&gt;0,$O10=0),"QUIEBRE Y SIN STOCK PARA ENVIAR",IF(AND($F10=0,$T10&gt;0),"QUIEBRE",IF($F10=0,"SIN STOCK SIN DEMANDA",IF(AND($AF10&gt;0,$AG10&lt;&gt;"",OR($AB10="",$AB10&gt;$AG10)),"STOCK VIEJO EN RIESGO",IF(AND($T10=0,$H10=0),"SIN ROTACION",IF($AB10="","-",IF($AB10&lt;14,"REPONER",IF($AB10&gt;84,"SOBRE-STOCK","EN RANGO"))))))))</f>
        <v>QUIEBRE</v>
      </c>
    </row>
    <row r="11" customFormat="false" ht="15" hidden="false" customHeight="false" outlineLevel="0" collapsed="false">
      <c r="A11" s="4" t="s">
        <v>94</v>
      </c>
      <c r="B11" s="23" t="s">
        <v>113</v>
      </c>
      <c r="C11" s="23" t="s">
        <v>114</v>
      </c>
      <c r="D11" s="23" t="s">
        <v>115</v>
      </c>
      <c r="E11" s="23" t="s">
        <v>116</v>
      </c>
      <c r="F11" s="23" t="n">
        <v>380</v>
      </c>
      <c r="G11" s="23" t="n">
        <v>150</v>
      </c>
      <c r="H11" s="23" t="n">
        <v>188</v>
      </c>
      <c r="I11" s="24" t="n">
        <f aca="false">ROUND($H11/30,2)</f>
        <v>6.27</v>
      </c>
      <c r="J11" s="25" t="n">
        <f aca="false">IF($Z11="CENSURADO",ROUND($T11/MAX($V11,3),2),ROUND($T11/$G$3,2))</f>
        <v>8.56</v>
      </c>
      <c r="K11" s="24" t="n">
        <f aca="false">ROUNDUP($J11*$C$3*7,0)</f>
        <v>180</v>
      </c>
      <c r="L11" s="24" t="n">
        <f aca="false">MAX(0,$K11-$F11-$G11)</f>
        <v>0</v>
      </c>
      <c r="M11" s="23" t="n">
        <v>6241</v>
      </c>
      <c r="N11" s="23" t="n">
        <v>438</v>
      </c>
      <c r="O11" s="24" t="n">
        <f aca="false">$M11+$N11</f>
        <v>6679</v>
      </c>
      <c r="P11" s="25" t="n">
        <f aca="false">MIN($L11,$O11)</f>
        <v>0</v>
      </c>
      <c r="Q11" s="23" t="s">
        <v>99</v>
      </c>
      <c r="R11" s="23" t="n">
        <v>4</v>
      </c>
      <c r="S11" s="23" t="s">
        <v>100</v>
      </c>
      <c r="T11" s="23" t="n">
        <v>274</v>
      </c>
      <c r="U11" s="23" t="n">
        <v>27</v>
      </c>
      <c r="V11" s="23" t="n">
        <v>32</v>
      </c>
      <c r="W11" s="23" t="n">
        <v>0</v>
      </c>
      <c r="X11" s="23" t="n">
        <v>445</v>
      </c>
      <c r="Y11" s="24" t="n">
        <f aca="false">IF($X11=0,"",ROUND($H11/$X11,2))</f>
        <v>0.42</v>
      </c>
      <c r="Z11" s="24" t="str">
        <f aca="false">IF(AND($F11=0,$T11&gt;=5,$W11&gt;=3),"CENSURADO",IF(AND($Y11&lt;&gt;"",$Y11&gt;=3,$T11&gt;=10),"CENSURADO",IF($T11=0,"SIN DATO","CONFIABLE")))</f>
        <v>CONFIABLE</v>
      </c>
      <c r="AA11" s="24" t="n">
        <f aca="false">IF($I11=0,"",ROUND($J11/MAX($I11,0.01),2))</f>
        <v>1.37</v>
      </c>
      <c r="AB11" s="24" t="n">
        <f aca="false">IF($J11&lt;=0,"",ROUND(($F11+$G11)/$J11,0))</f>
        <v>62</v>
      </c>
      <c r="AC11" s="26" t="n">
        <f aca="false">IF($AB11="","",$J$3+$AB11)</f>
        <v>46307</v>
      </c>
      <c r="AD11" s="23" t="n">
        <v>0</v>
      </c>
      <c r="AE11" s="23" t="n">
        <v>0</v>
      </c>
      <c r="AF11" s="23" t="n">
        <v>0</v>
      </c>
      <c r="AG11" s="24" t="str">
        <f aca="false">IF($AF11=0,"",MAX(0,180-$AE11))</f>
        <v/>
      </c>
      <c r="AH11" s="27" t="n">
        <v>0</v>
      </c>
      <c r="AI11" s="28" t="str">
        <f aca="false">IF($AF11=0,"",$AF11*$Q$3-$AF11*$N$3)</f>
        <v/>
      </c>
      <c r="AJ11" s="23" t="n">
        <v>2.84</v>
      </c>
      <c r="AK11" s="28" t="n">
        <f aca="false">ROUND($F11*$AJ11,0)</f>
        <v>1079</v>
      </c>
      <c r="AL11" s="25" t="str">
        <f aca="false">IF(AND($F11=0,$T11&gt;0,$O11=0),"QUIEBRE Y SIN STOCK PARA ENVIAR",IF(AND($F11=0,$T11&gt;0),"QUIEBRE",IF($F11=0,"SIN STOCK SIN DEMANDA",IF(AND($AF11&gt;0,$AG11&lt;&gt;"",OR($AB11="",$AB11&gt;$AG11)),"STOCK VIEJO EN RIESGO",IF(AND($T11=0,$H11=0),"SIN ROTACION",IF($AB11="","-",IF($AB11&lt;14,"REPONER",IF($AB11&gt;84,"SOBRE-STOCK","EN RANGO"))))))))</f>
        <v>EN RANGO</v>
      </c>
    </row>
    <row r="12" customFormat="false" ht="15" hidden="false" customHeight="false" outlineLevel="0" collapsed="false">
      <c r="A12" s="4" t="s">
        <v>94</v>
      </c>
      <c r="B12" s="23" t="s">
        <v>117</v>
      </c>
      <c r="C12" s="23" t="s">
        <v>118</v>
      </c>
      <c r="D12" s="23" t="s">
        <v>119</v>
      </c>
      <c r="E12" s="23" t="s">
        <v>120</v>
      </c>
      <c r="F12" s="23" t="n">
        <v>0</v>
      </c>
      <c r="G12" s="23" t="n">
        <v>100</v>
      </c>
      <c r="H12" s="23" t="n">
        <v>123</v>
      </c>
      <c r="I12" s="24" t="n">
        <f aca="false">ROUND($H12/30,2)</f>
        <v>4.1</v>
      </c>
      <c r="J12" s="25" t="n">
        <f aca="false">IF($Z12="CENSURADO",ROUND($T12/MAX($V12,3),2),ROUND($T12/$G$3,2))</f>
        <v>7.89</v>
      </c>
      <c r="K12" s="24" t="n">
        <f aca="false">ROUNDUP($J12*$C$3*7,0)</f>
        <v>166</v>
      </c>
      <c r="L12" s="24" t="n">
        <f aca="false">MAX(0,$K12-$F12-$G12)</f>
        <v>66</v>
      </c>
      <c r="M12" s="23" t="n">
        <v>174</v>
      </c>
      <c r="N12" s="23" t="n">
        <v>16</v>
      </c>
      <c r="O12" s="24" t="n">
        <f aca="false">$M12+$N12</f>
        <v>190</v>
      </c>
      <c r="P12" s="25" t="n">
        <f aca="false">MIN($L12,$O12)</f>
        <v>66</v>
      </c>
      <c r="Q12" s="23"/>
      <c r="R12" s="23" t="n">
        <v>1</v>
      </c>
      <c r="S12" s="23" t="s">
        <v>100</v>
      </c>
      <c r="T12" s="23" t="n">
        <v>213</v>
      </c>
      <c r="U12" s="23" t="n">
        <v>26</v>
      </c>
      <c r="V12" s="23" t="n">
        <v>27</v>
      </c>
      <c r="W12" s="23" t="n">
        <v>4</v>
      </c>
      <c r="X12" s="23" t="n">
        <v>45</v>
      </c>
      <c r="Y12" s="24" t="n">
        <f aca="false">IF($X12=0,"",ROUND($H12/$X12,2))</f>
        <v>2.73</v>
      </c>
      <c r="Z12" s="24" t="str">
        <f aca="false">IF(AND($F12=0,$T12&gt;=5,$W12&gt;=3),"CENSURADO",IF(AND($Y12&lt;&gt;"",$Y12&gt;=3,$T12&gt;=10),"CENSURADO",IF($T12=0,"SIN DATO","CONFIABLE")))</f>
        <v>CENSURADO</v>
      </c>
      <c r="AA12" s="24" t="n">
        <f aca="false">IF($I12=0,"",ROUND($J12/MAX($I12,0.01),2))</f>
        <v>1.92</v>
      </c>
      <c r="AB12" s="24" t="n">
        <f aca="false">IF($J12&lt;=0,"",ROUND(($F12+$G12)/$J12,0))</f>
        <v>13</v>
      </c>
      <c r="AC12" s="26" t="n">
        <f aca="false">IF($AB12="","",$J$3+$AB12)</f>
        <v>46258</v>
      </c>
      <c r="AD12" s="23" t="n">
        <v>0</v>
      </c>
      <c r="AE12" s="23" t="n">
        <v>0</v>
      </c>
      <c r="AF12" s="23" t="n">
        <v>0</v>
      </c>
      <c r="AG12" s="24" t="str">
        <f aca="false">IF($AF12=0,"",MAX(0,180-$AE12))</f>
        <v/>
      </c>
      <c r="AH12" s="27" t="n">
        <v>0</v>
      </c>
      <c r="AI12" s="28" t="str">
        <f aca="false">IF($AF12=0,"",$AF12*$Q$3-$AF12*$N$3)</f>
        <v/>
      </c>
      <c r="AJ12" s="23" t="n">
        <v>5.74</v>
      </c>
      <c r="AK12" s="28" t="n">
        <f aca="false">ROUND($F12*$AJ12,0)</f>
        <v>0</v>
      </c>
      <c r="AL12" s="25" t="str">
        <f aca="false">IF(AND($F12=0,$T12&gt;0,$O12=0),"QUIEBRE Y SIN STOCK PARA ENVIAR",IF(AND($F12=0,$T12&gt;0),"QUIEBRE",IF($F12=0,"SIN STOCK SIN DEMANDA",IF(AND($AF12&gt;0,$AG12&lt;&gt;"",OR($AB12="",$AB12&gt;$AG12)),"STOCK VIEJO EN RIESGO",IF(AND($T12=0,$H12=0),"SIN ROTACION",IF($AB12="","-",IF($AB12&lt;14,"REPONER",IF($AB12&gt;84,"SOBRE-STOCK","EN RANGO"))))))))</f>
        <v>QUIEBRE</v>
      </c>
    </row>
    <row r="13" customFormat="false" ht="15" hidden="false" customHeight="false" outlineLevel="0" collapsed="false">
      <c r="A13" s="4" t="s">
        <v>94</v>
      </c>
      <c r="B13" s="23" t="s">
        <v>121</v>
      </c>
      <c r="C13" s="23" t="s">
        <v>122</v>
      </c>
      <c r="D13" s="23" t="s">
        <v>123</v>
      </c>
      <c r="E13" s="23" t="s">
        <v>124</v>
      </c>
      <c r="F13" s="23" t="n">
        <v>57</v>
      </c>
      <c r="G13" s="23" t="n">
        <v>85</v>
      </c>
      <c r="H13" s="23" t="n">
        <v>105</v>
      </c>
      <c r="I13" s="24" t="n">
        <f aca="false">ROUND($H13/30,2)</f>
        <v>3.5</v>
      </c>
      <c r="J13" s="25" t="n">
        <f aca="false">IF($Z13="CENSURADO",ROUND($T13/MAX($V13,3),2),ROUND($T13/$G$3,2))</f>
        <v>6</v>
      </c>
      <c r="K13" s="24" t="n">
        <f aca="false">ROUNDUP($J13*$C$3*7,0)</f>
        <v>126</v>
      </c>
      <c r="L13" s="24" t="n">
        <f aca="false">MAX(0,$K13-$F13-$G13)</f>
        <v>0</v>
      </c>
      <c r="M13" s="23" t="n">
        <v>9733</v>
      </c>
      <c r="N13" s="23" t="n">
        <v>202</v>
      </c>
      <c r="O13" s="24" t="n">
        <f aca="false">$M13+$N13</f>
        <v>9935</v>
      </c>
      <c r="P13" s="25" t="n">
        <f aca="false">MIN($L13,$O13)</f>
        <v>0</v>
      </c>
      <c r="Q13" s="23" t="s">
        <v>99</v>
      </c>
      <c r="R13" s="23" t="n">
        <v>3</v>
      </c>
      <c r="S13" s="23" t="s">
        <v>100</v>
      </c>
      <c r="T13" s="23" t="n">
        <v>192</v>
      </c>
      <c r="U13" s="23" t="n">
        <v>28</v>
      </c>
      <c r="V13" s="23" t="n">
        <v>32</v>
      </c>
      <c r="W13" s="23" t="n">
        <v>0</v>
      </c>
      <c r="X13" s="23" t="n">
        <v>99</v>
      </c>
      <c r="Y13" s="24" t="n">
        <f aca="false">IF($X13=0,"",ROUND($H13/$X13,2))</f>
        <v>1.06</v>
      </c>
      <c r="Z13" s="24" t="str">
        <f aca="false">IF(AND($F13=0,$T13&gt;=5,$W13&gt;=3),"CENSURADO",IF(AND($Y13&lt;&gt;"",$Y13&gt;=3,$T13&gt;=10),"CENSURADO",IF($T13=0,"SIN DATO","CONFIABLE")))</f>
        <v>CONFIABLE</v>
      </c>
      <c r="AA13" s="24" t="n">
        <f aca="false">IF($I13=0,"",ROUND($J13/MAX($I13,0.01),2))</f>
        <v>1.71</v>
      </c>
      <c r="AB13" s="24" t="n">
        <f aca="false">IF($J13&lt;=0,"",ROUND(($F13+$G13)/$J13,0))</f>
        <v>24</v>
      </c>
      <c r="AC13" s="26" t="n">
        <f aca="false">IF($AB13="","",$J$3+$AB13)</f>
        <v>46269</v>
      </c>
      <c r="AD13" s="23" t="n">
        <v>0</v>
      </c>
      <c r="AE13" s="23" t="n">
        <v>0</v>
      </c>
      <c r="AF13" s="23" t="n">
        <v>0</v>
      </c>
      <c r="AG13" s="24" t="str">
        <f aca="false">IF($AF13=0,"",MAX(0,180-$AE13))</f>
        <v/>
      </c>
      <c r="AH13" s="27" t="n">
        <v>0</v>
      </c>
      <c r="AI13" s="28" t="str">
        <f aca="false">IF($AF13=0,"",$AF13*$Q$3-$AF13*$N$3)</f>
        <v/>
      </c>
      <c r="AJ13" s="23" t="n">
        <v>4.1</v>
      </c>
      <c r="AK13" s="28" t="n">
        <f aca="false">ROUND($F13*$AJ13,0)</f>
        <v>234</v>
      </c>
      <c r="AL13" s="25" t="str">
        <f aca="false">IF(AND($F13=0,$T13&gt;0,$O13=0),"QUIEBRE Y SIN STOCK PARA ENVIAR",IF(AND($F13=0,$T13&gt;0),"QUIEBRE",IF($F13=0,"SIN STOCK SIN DEMANDA",IF(AND($AF13&gt;0,$AG13&lt;&gt;"",OR($AB13="",$AB13&gt;$AG13)),"STOCK VIEJO EN RIESGO",IF(AND($T13=0,$H13=0),"SIN ROTACION",IF($AB13="","-",IF($AB13&lt;14,"REPONER",IF($AB13&gt;84,"SOBRE-STOCK","EN RANGO"))))))))</f>
        <v>EN RANGO</v>
      </c>
    </row>
    <row r="14" customFormat="false" ht="15" hidden="false" customHeight="false" outlineLevel="0" collapsed="false">
      <c r="A14" s="4" t="s">
        <v>94</v>
      </c>
      <c r="B14" s="23" t="s">
        <v>125</v>
      </c>
      <c r="C14" s="23" t="s">
        <v>126</v>
      </c>
      <c r="D14" s="23" t="s">
        <v>127</v>
      </c>
      <c r="E14" s="23" t="s">
        <v>128</v>
      </c>
      <c r="F14" s="23" t="n">
        <v>10</v>
      </c>
      <c r="G14" s="23" t="n">
        <v>50</v>
      </c>
      <c r="H14" s="23" t="n">
        <v>96</v>
      </c>
      <c r="I14" s="24" t="n">
        <f aca="false">ROUND($H14/30,2)</f>
        <v>3.2</v>
      </c>
      <c r="J14" s="25" t="n">
        <f aca="false">IF($Z14="CENSURADO",ROUND($T14/MAX($V14,3),2),ROUND($T14/$G$3,2))</f>
        <v>4.78</v>
      </c>
      <c r="K14" s="24" t="n">
        <f aca="false">ROUNDUP($J14*$C$3*7,0)</f>
        <v>101</v>
      </c>
      <c r="L14" s="24" t="n">
        <f aca="false">MAX(0,$K14-$F14-$G14)</f>
        <v>41</v>
      </c>
      <c r="M14" s="23" t="n">
        <v>1217</v>
      </c>
      <c r="N14" s="23" t="n">
        <v>32</v>
      </c>
      <c r="O14" s="24" t="n">
        <f aca="false">$M14+$N14</f>
        <v>1249</v>
      </c>
      <c r="P14" s="25" t="n">
        <f aca="false">MIN($L14,$O14)</f>
        <v>41</v>
      </c>
      <c r="Q14" s="23" t="s">
        <v>99</v>
      </c>
      <c r="R14" s="23" t="n">
        <v>1</v>
      </c>
      <c r="S14" s="23" t="s">
        <v>100</v>
      </c>
      <c r="T14" s="23" t="n">
        <v>153</v>
      </c>
      <c r="U14" s="23" t="n">
        <v>30</v>
      </c>
      <c r="V14" s="23" t="n">
        <v>30</v>
      </c>
      <c r="W14" s="23" t="n">
        <v>0</v>
      </c>
      <c r="X14" s="23" t="n">
        <v>65</v>
      </c>
      <c r="Y14" s="24" t="n">
        <f aca="false">IF($X14=0,"",ROUND($H14/$X14,2))</f>
        <v>1.48</v>
      </c>
      <c r="Z14" s="24" t="str">
        <f aca="false">IF(AND($F14=0,$T14&gt;=5,$W14&gt;=3),"CENSURADO",IF(AND($Y14&lt;&gt;"",$Y14&gt;=3,$T14&gt;=10),"CENSURADO",IF($T14=0,"SIN DATO","CONFIABLE")))</f>
        <v>CONFIABLE</v>
      </c>
      <c r="AA14" s="24" t="n">
        <f aca="false">IF($I14=0,"",ROUND($J14/MAX($I14,0.01),2))</f>
        <v>1.49</v>
      </c>
      <c r="AB14" s="24" t="n">
        <f aca="false">IF($J14&lt;=0,"",ROUND(($F14+$G14)/$J14,0))</f>
        <v>13</v>
      </c>
      <c r="AC14" s="26" t="n">
        <f aca="false">IF($AB14="","",$J$3+$AB14)</f>
        <v>46258</v>
      </c>
      <c r="AD14" s="23" t="n">
        <v>0</v>
      </c>
      <c r="AE14" s="23" t="n">
        <v>0</v>
      </c>
      <c r="AF14" s="23" t="n">
        <v>0</v>
      </c>
      <c r="AG14" s="24" t="str">
        <f aca="false">IF($AF14=0,"",MAX(0,180-$AE14))</f>
        <v/>
      </c>
      <c r="AH14" s="27" t="n">
        <v>0</v>
      </c>
      <c r="AI14" s="28" t="str">
        <f aca="false">IF($AF14=0,"",$AF14*$Q$3-$AF14*$N$3)</f>
        <v/>
      </c>
      <c r="AJ14" s="23" t="n">
        <v>6.1</v>
      </c>
      <c r="AK14" s="28" t="n">
        <f aca="false">ROUND($F14*$AJ14,0)</f>
        <v>61</v>
      </c>
      <c r="AL14" s="25" t="str">
        <f aca="false">IF(AND($F14=0,$T14&gt;0,$O14=0),"QUIEBRE Y SIN STOCK PARA ENVIAR",IF(AND($F14=0,$T14&gt;0),"QUIEBRE",IF($F14=0,"SIN STOCK SIN DEMANDA",IF(AND($AF14&gt;0,$AG14&lt;&gt;"",OR($AB14="",$AB14&gt;$AG14)),"STOCK VIEJO EN RIESGO",IF(AND($T14=0,$H14=0),"SIN ROTACION",IF($AB14="","-",IF($AB14&lt;14,"REPONER",IF($AB14&gt;84,"SOBRE-STOCK","EN RANGO"))))))))</f>
        <v>REPONER</v>
      </c>
    </row>
    <row r="15" customFormat="false" ht="15" hidden="false" customHeight="false" outlineLevel="0" collapsed="false">
      <c r="A15" s="4" t="s">
        <v>94</v>
      </c>
      <c r="B15" s="23" t="s">
        <v>129</v>
      </c>
      <c r="C15" s="23" t="s">
        <v>130</v>
      </c>
      <c r="D15" s="23" t="s">
        <v>131</v>
      </c>
      <c r="E15" s="23" t="s">
        <v>132</v>
      </c>
      <c r="F15" s="23" t="n">
        <v>56</v>
      </c>
      <c r="G15" s="23" t="n">
        <v>50</v>
      </c>
      <c r="H15" s="23" t="n">
        <v>9</v>
      </c>
      <c r="I15" s="24" t="n">
        <f aca="false">ROUND($H15/30,2)</f>
        <v>0.3</v>
      </c>
      <c r="J15" s="25" t="n">
        <f aca="false">IF($Z15="CENSURADO",ROUND($T15/MAX($V15,3),2),ROUND($T15/$G$3,2))</f>
        <v>4.38</v>
      </c>
      <c r="K15" s="24" t="n">
        <f aca="false">ROUNDUP($J15*$C$3*7,0)</f>
        <v>92</v>
      </c>
      <c r="L15" s="24" t="n">
        <f aca="false">MAX(0,$K15-$F15-$G15)</f>
        <v>0</v>
      </c>
      <c r="M15" s="23" t="n">
        <v>167</v>
      </c>
      <c r="N15" s="23" t="n">
        <v>408</v>
      </c>
      <c r="O15" s="24" t="n">
        <f aca="false">$M15+$N15</f>
        <v>575</v>
      </c>
      <c r="P15" s="25" t="n">
        <f aca="false">MIN($L15,$O15)</f>
        <v>0</v>
      </c>
      <c r="Q15" s="23" t="s">
        <v>99</v>
      </c>
      <c r="R15" s="23" t="n">
        <v>2</v>
      </c>
      <c r="S15" s="23" t="s">
        <v>133</v>
      </c>
      <c r="T15" s="23" t="n">
        <v>140</v>
      </c>
      <c r="U15" s="23" t="n">
        <v>24</v>
      </c>
      <c r="V15" s="23" t="n">
        <v>31</v>
      </c>
      <c r="W15" s="23" t="n">
        <v>0</v>
      </c>
      <c r="X15" s="23" t="n">
        <v>59</v>
      </c>
      <c r="Y15" s="24" t="n">
        <f aca="false">IF($X15=0,"",ROUND($H15/$X15,2))</f>
        <v>0.15</v>
      </c>
      <c r="Z15" s="24" t="str">
        <f aca="false">IF(AND($F15=0,$T15&gt;=5,$W15&gt;=3),"CENSURADO",IF(AND($Y15&lt;&gt;"",$Y15&gt;=3,$T15&gt;=10),"CENSURADO",IF($T15=0,"SIN DATO","CONFIABLE")))</f>
        <v>CONFIABLE</v>
      </c>
      <c r="AA15" s="24" t="n">
        <f aca="false">IF($I15=0,"",ROUND($J15/MAX($I15,0.01),2))</f>
        <v>14.6</v>
      </c>
      <c r="AB15" s="24" t="n">
        <f aca="false">IF($J15&lt;=0,"",ROUND(($F15+$G15)/$J15,0))</f>
        <v>24</v>
      </c>
      <c r="AC15" s="26" t="n">
        <f aca="false">IF($AB15="","",$J$3+$AB15)</f>
        <v>46269</v>
      </c>
      <c r="AD15" s="23" t="n">
        <v>0</v>
      </c>
      <c r="AE15" s="23" t="n">
        <v>0</v>
      </c>
      <c r="AF15" s="23" t="n">
        <v>0</v>
      </c>
      <c r="AG15" s="24" t="str">
        <f aca="false">IF($AF15=0,"",MAX(0,180-$AE15))</f>
        <v/>
      </c>
      <c r="AH15" s="27" t="n">
        <v>0</v>
      </c>
      <c r="AI15" s="28" t="str">
        <f aca="false">IF($AF15=0,"",$AF15*$Q$3-$AF15*$N$3)</f>
        <v/>
      </c>
      <c r="AJ15" s="23" t="n">
        <v>13.25</v>
      </c>
      <c r="AK15" s="28" t="n">
        <f aca="false">ROUND($F15*$AJ15,0)</f>
        <v>742</v>
      </c>
      <c r="AL15" s="25" t="str">
        <f aca="false">IF(AND($F15=0,$T15&gt;0,$O15=0),"QUIEBRE Y SIN STOCK PARA ENVIAR",IF(AND($F15=0,$T15&gt;0),"QUIEBRE",IF($F15=0,"SIN STOCK SIN DEMANDA",IF(AND($AF15&gt;0,$AG15&lt;&gt;"",OR($AB15="",$AB15&gt;$AG15)),"STOCK VIEJO EN RIESGO",IF(AND($T15=0,$H15=0),"SIN ROTACION",IF($AB15="","-",IF($AB15&lt;14,"REPONER",IF($AB15&gt;84,"SOBRE-STOCK","EN RANGO"))))))))</f>
        <v>EN RANGO</v>
      </c>
    </row>
    <row r="16" customFormat="false" ht="15" hidden="false" customHeight="false" outlineLevel="0" collapsed="false">
      <c r="A16" s="4" t="s">
        <v>94</v>
      </c>
      <c r="B16" s="23" t="s">
        <v>134</v>
      </c>
      <c r="C16" s="23" t="s">
        <v>135</v>
      </c>
      <c r="D16" s="23" t="s">
        <v>136</v>
      </c>
      <c r="E16" s="23" t="s">
        <v>137</v>
      </c>
      <c r="F16" s="23" t="n">
        <v>0</v>
      </c>
      <c r="G16" s="23" t="n">
        <v>0</v>
      </c>
      <c r="H16" s="23" t="n">
        <v>119</v>
      </c>
      <c r="I16" s="24" t="n">
        <f aca="false">ROUND($H16/30,2)</f>
        <v>3.97</v>
      </c>
      <c r="J16" s="25" t="n">
        <f aca="false">IF($Z16="CENSURADO",ROUND($T16/MAX($V16,3),2),ROUND($T16/$G$3,2))</f>
        <v>4.17</v>
      </c>
      <c r="K16" s="24" t="n">
        <f aca="false">ROUNDUP($J16*$C$3*7,0)</f>
        <v>88</v>
      </c>
      <c r="L16" s="24" t="n">
        <f aca="false">MAX(0,$K16-$F16-$G16)</f>
        <v>88</v>
      </c>
      <c r="M16" s="23" t="n">
        <v>0</v>
      </c>
      <c r="N16" s="23" t="n">
        <v>0</v>
      </c>
      <c r="O16" s="24" t="n">
        <f aca="false">$M16+$N16</f>
        <v>0</v>
      </c>
      <c r="P16" s="25" t="n">
        <f aca="false">MIN($L16,$O16)</f>
        <v>0</v>
      </c>
      <c r="Q16" s="23"/>
      <c r="R16" s="23" t="n">
        <v>1</v>
      </c>
      <c r="S16" s="23" t="s">
        <v>100</v>
      </c>
      <c r="T16" s="23" t="n">
        <v>121</v>
      </c>
      <c r="U16" s="23" t="n">
        <v>22</v>
      </c>
      <c r="V16" s="23" t="n">
        <v>29</v>
      </c>
      <c r="W16" s="23" t="n">
        <v>3</v>
      </c>
      <c r="X16" s="23" t="n">
        <v>70</v>
      </c>
      <c r="Y16" s="24" t="n">
        <f aca="false">IF($X16=0,"",ROUND($H16/$X16,2))</f>
        <v>1.7</v>
      </c>
      <c r="Z16" s="24" t="str">
        <f aca="false">IF(AND($F16=0,$T16&gt;=5,$W16&gt;=3),"CENSURADO",IF(AND($Y16&lt;&gt;"",$Y16&gt;=3,$T16&gt;=10),"CENSURADO",IF($T16=0,"SIN DATO","CONFIABLE")))</f>
        <v>CENSURADO</v>
      </c>
      <c r="AA16" s="24" t="n">
        <f aca="false">IF($I16=0,"",ROUND($J16/MAX($I16,0.01),2))</f>
        <v>1.05</v>
      </c>
      <c r="AB16" s="24" t="n">
        <f aca="false">IF($J16&lt;=0,"",ROUND(($F16+$G16)/$J16,0))</f>
        <v>0</v>
      </c>
      <c r="AC16" s="26" t="n">
        <f aca="false">IF($AB16="","",$J$3+$AB16)</f>
        <v>46245</v>
      </c>
      <c r="AD16" s="23" t="n">
        <v>0</v>
      </c>
      <c r="AE16" s="23" t="n">
        <v>0</v>
      </c>
      <c r="AF16" s="23" t="n">
        <v>0</v>
      </c>
      <c r="AG16" s="24" t="str">
        <f aca="false">IF($AF16=0,"",MAX(0,180-$AE16))</f>
        <v/>
      </c>
      <c r="AH16" s="27" t="n">
        <v>0</v>
      </c>
      <c r="AI16" s="28" t="str">
        <f aca="false">IF($AF16=0,"",$AF16*$Q$3-$AF16*$N$3)</f>
        <v/>
      </c>
      <c r="AJ16" s="23" t="n">
        <v>0</v>
      </c>
      <c r="AK16" s="28" t="n">
        <f aca="false">ROUND($F16*$AJ16,0)</f>
        <v>0</v>
      </c>
      <c r="AL16" s="25" t="str">
        <f aca="false">IF(AND($F16=0,$T16&gt;0,$O16=0),"QUIEBRE Y SIN STOCK PARA ENVIAR",IF(AND($F16=0,$T16&gt;0),"QUIEBRE",IF($F16=0,"SIN STOCK SIN DEMANDA",IF(AND($AF16&gt;0,$AG16&lt;&gt;"",OR($AB16="",$AB16&gt;$AG16)),"STOCK VIEJO EN RIESGO",IF(AND($T16=0,$H16=0),"SIN ROTACION",IF($AB16="","-",IF($AB16&lt;14,"REPONER",IF($AB16&gt;84,"SOBRE-STOCK","EN RANGO"))))))))</f>
        <v>QUIEBRE Y SIN STOCK PARA ENVIAR</v>
      </c>
    </row>
    <row r="17" customFormat="false" ht="15" hidden="false" customHeight="false" outlineLevel="0" collapsed="false">
      <c r="A17" s="4" t="s">
        <v>94</v>
      </c>
      <c r="B17" s="23" t="s">
        <v>138</v>
      </c>
      <c r="C17" s="23" t="s">
        <v>139</v>
      </c>
      <c r="D17" s="23" t="s">
        <v>140</v>
      </c>
      <c r="E17" s="23" t="s">
        <v>141</v>
      </c>
      <c r="F17" s="23" t="n">
        <v>37</v>
      </c>
      <c r="G17" s="23" t="n">
        <v>0</v>
      </c>
      <c r="H17" s="23" t="n">
        <v>67</v>
      </c>
      <c r="I17" s="24" t="n">
        <f aca="false">ROUND($H17/30,2)</f>
        <v>2.23</v>
      </c>
      <c r="J17" s="25" t="n">
        <f aca="false">IF($Z17="CENSURADO",ROUND($T17/MAX($V17,3),2),ROUND($T17/$G$3,2))</f>
        <v>3.69</v>
      </c>
      <c r="K17" s="24" t="n">
        <f aca="false">ROUNDUP($J17*$C$3*7,0)</f>
        <v>78</v>
      </c>
      <c r="L17" s="24" t="n">
        <f aca="false">MAX(0,$K17-$F17-$G17)</f>
        <v>41</v>
      </c>
      <c r="M17" s="23" t="n">
        <v>271</v>
      </c>
      <c r="N17" s="23" t="n">
        <v>88</v>
      </c>
      <c r="O17" s="24" t="n">
        <f aca="false">$M17+$N17</f>
        <v>359</v>
      </c>
      <c r="P17" s="25" t="n">
        <f aca="false">MIN($L17,$O17)</f>
        <v>41</v>
      </c>
      <c r="Q17" s="23" t="s">
        <v>99</v>
      </c>
      <c r="R17" s="23" t="n">
        <v>1</v>
      </c>
      <c r="S17" s="23" t="s">
        <v>133</v>
      </c>
      <c r="T17" s="23" t="n">
        <v>118</v>
      </c>
      <c r="U17" s="23" t="n">
        <v>22</v>
      </c>
      <c r="V17" s="23" t="n">
        <v>30</v>
      </c>
      <c r="W17" s="23" t="n">
        <v>1</v>
      </c>
      <c r="X17" s="23" t="n">
        <v>83</v>
      </c>
      <c r="Y17" s="24" t="n">
        <f aca="false">IF($X17=0,"",ROUND($H17/$X17,2))</f>
        <v>0.81</v>
      </c>
      <c r="Z17" s="24" t="str">
        <f aca="false">IF(AND($F17=0,$T17&gt;=5,$W17&gt;=3),"CENSURADO",IF(AND($Y17&lt;&gt;"",$Y17&gt;=3,$T17&gt;=10),"CENSURADO",IF($T17=0,"SIN DATO","CONFIABLE")))</f>
        <v>CONFIABLE</v>
      </c>
      <c r="AA17" s="24" t="n">
        <f aca="false">IF($I17=0,"",ROUND($J17/MAX($I17,0.01),2))</f>
        <v>1.65</v>
      </c>
      <c r="AB17" s="24" t="n">
        <f aca="false">IF($J17&lt;=0,"",ROUND(($F17+$G17)/$J17,0))</f>
        <v>10</v>
      </c>
      <c r="AC17" s="26" t="n">
        <f aca="false">IF($AB17="","",$J$3+$AB17)</f>
        <v>46255</v>
      </c>
      <c r="AD17" s="23" t="n">
        <v>0</v>
      </c>
      <c r="AE17" s="23" t="n">
        <v>0</v>
      </c>
      <c r="AF17" s="23" t="n">
        <v>0</v>
      </c>
      <c r="AG17" s="24" t="str">
        <f aca="false">IF($AF17=0,"",MAX(0,180-$AE17))</f>
        <v/>
      </c>
      <c r="AH17" s="27" t="n">
        <v>0</v>
      </c>
      <c r="AI17" s="28" t="str">
        <f aca="false">IF($AF17=0,"",$AF17*$Q$3-$AF17*$N$3)</f>
        <v/>
      </c>
      <c r="AJ17" s="23" t="n">
        <v>1.55</v>
      </c>
      <c r="AK17" s="28" t="n">
        <f aca="false">ROUND($F17*$AJ17,0)</f>
        <v>57</v>
      </c>
      <c r="AL17" s="25" t="str">
        <f aca="false">IF(AND($F17=0,$T17&gt;0,$O17=0),"QUIEBRE Y SIN STOCK PARA ENVIAR",IF(AND($F17=0,$T17&gt;0),"QUIEBRE",IF($F17=0,"SIN STOCK SIN DEMANDA",IF(AND($AF17&gt;0,$AG17&lt;&gt;"",OR($AB17="",$AB17&gt;$AG17)),"STOCK VIEJO EN RIESGO",IF(AND($T17=0,$H17=0),"SIN ROTACION",IF($AB17="","-",IF($AB17&lt;14,"REPONER",IF($AB17&gt;84,"SOBRE-STOCK","EN RANGO"))))))))</f>
        <v>REPONER</v>
      </c>
    </row>
    <row r="18" customFormat="false" ht="15" hidden="false" customHeight="false" outlineLevel="0" collapsed="false">
      <c r="A18" s="4" t="s">
        <v>94</v>
      </c>
      <c r="B18" s="23" t="s">
        <v>142</v>
      </c>
      <c r="C18" s="23" t="s">
        <v>143</v>
      </c>
      <c r="D18" s="23" t="s">
        <v>144</v>
      </c>
      <c r="E18" s="23" t="s">
        <v>145</v>
      </c>
      <c r="F18" s="23" t="n">
        <v>0</v>
      </c>
      <c r="G18" s="23" t="n">
        <v>50</v>
      </c>
      <c r="H18" s="23" t="n">
        <v>58</v>
      </c>
      <c r="I18" s="24" t="n">
        <f aca="false">ROUND($H18/30,2)</f>
        <v>1.93</v>
      </c>
      <c r="J18" s="25" t="n">
        <f aca="false">IF($Z18="CENSURADO",ROUND($T18/MAX($V18,3),2),ROUND($T18/$G$3,2))</f>
        <v>3.34</v>
      </c>
      <c r="K18" s="24" t="n">
        <f aca="false">ROUNDUP($J18*$C$3*7,0)</f>
        <v>71</v>
      </c>
      <c r="L18" s="24" t="n">
        <f aca="false">MAX(0,$K18-$F18-$G18)</f>
        <v>21</v>
      </c>
      <c r="M18" s="23" t="n">
        <v>3338</v>
      </c>
      <c r="N18" s="23" t="n">
        <v>31</v>
      </c>
      <c r="O18" s="24" t="n">
        <f aca="false">$M18+$N18</f>
        <v>3369</v>
      </c>
      <c r="P18" s="25" t="n">
        <f aca="false">MIN($L18,$O18)</f>
        <v>21</v>
      </c>
      <c r="Q18" s="23" t="s">
        <v>99</v>
      </c>
      <c r="R18" s="23" t="n">
        <v>1</v>
      </c>
      <c r="S18" s="23" t="s">
        <v>100</v>
      </c>
      <c r="T18" s="23" t="n">
        <v>107</v>
      </c>
      <c r="U18" s="23" t="n">
        <v>30</v>
      </c>
      <c r="V18" s="23" t="n">
        <v>32</v>
      </c>
      <c r="W18" s="23" t="n">
        <v>0</v>
      </c>
      <c r="X18" s="23" t="n">
        <v>16</v>
      </c>
      <c r="Y18" s="24" t="n">
        <f aca="false">IF($X18=0,"",ROUND($H18/$X18,2))</f>
        <v>3.63</v>
      </c>
      <c r="Z18" s="24" t="str">
        <f aca="false">IF(AND($F18=0,$T18&gt;=5,$W18&gt;=3),"CENSURADO",IF(AND($Y18&lt;&gt;"",$Y18&gt;=3,$T18&gt;=10),"CENSURADO",IF($T18=0,"SIN DATO","CONFIABLE")))</f>
        <v>CENSURADO</v>
      </c>
      <c r="AA18" s="24" t="n">
        <f aca="false">IF($I18=0,"",ROUND($J18/MAX($I18,0.01),2))</f>
        <v>1.73</v>
      </c>
      <c r="AB18" s="24" t="n">
        <f aca="false">IF($J18&lt;=0,"",ROUND(($F18+$G18)/$J18,0))</f>
        <v>15</v>
      </c>
      <c r="AC18" s="26" t="n">
        <f aca="false">IF($AB18="","",$J$3+$AB18)</f>
        <v>46260</v>
      </c>
      <c r="AD18" s="23" t="n">
        <v>0</v>
      </c>
      <c r="AE18" s="23" t="n">
        <v>0</v>
      </c>
      <c r="AF18" s="23" t="n">
        <v>0</v>
      </c>
      <c r="AG18" s="24" t="str">
        <f aca="false">IF($AF18=0,"",MAX(0,180-$AE18))</f>
        <v/>
      </c>
      <c r="AH18" s="27" t="n">
        <v>0</v>
      </c>
      <c r="AI18" s="28" t="str">
        <f aca="false">IF($AF18=0,"",$AF18*$Q$3-$AF18*$N$3)</f>
        <v/>
      </c>
      <c r="AJ18" s="23" t="n">
        <v>2.48</v>
      </c>
      <c r="AK18" s="28" t="n">
        <f aca="false">ROUND($F18*$AJ18,0)</f>
        <v>0</v>
      </c>
      <c r="AL18" s="25" t="str">
        <f aca="false">IF(AND($F18=0,$T18&gt;0,$O18=0),"QUIEBRE Y SIN STOCK PARA ENVIAR",IF(AND($F18=0,$T18&gt;0),"QUIEBRE",IF($F18=0,"SIN STOCK SIN DEMANDA",IF(AND($AF18&gt;0,$AG18&lt;&gt;"",OR($AB18="",$AB18&gt;$AG18)),"STOCK VIEJO EN RIESGO",IF(AND($T18=0,$H18=0),"SIN ROTACION",IF($AB18="","-",IF($AB18&lt;14,"REPONER",IF($AB18&gt;84,"SOBRE-STOCK","EN RANGO"))))))))</f>
        <v>QUIEBRE</v>
      </c>
    </row>
    <row r="19" customFormat="false" ht="15" hidden="false" customHeight="false" outlineLevel="0" collapsed="false">
      <c r="A19" s="4" t="s">
        <v>94</v>
      </c>
      <c r="B19" s="23" t="s">
        <v>146</v>
      </c>
      <c r="C19" s="23" t="s">
        <v>147</v>
      </c>
      <c r="D19" s="23" t="s">
        <v>148</v>
      </c>
      <c r="E19" s="23" t="s">
        <v>149</v>
      </c>
      <c r="F19" s="23" t="n">
        <v>0</v>
      </c>
      <c r="G19" s="23" t="n">
        <v>10</v>
      </c>
      <c r="H19" s="23" t="n">
        <v>77</v>
      </c>
      <c r="I19" s="24" t="n">
        <f aca="false">ROUND($H19/30,2)</f>
        <v>2.57</v>
      </c>
      <c r="J19" s="25" t="n">
        <f aca="false">IF($Z19="CENSURADO",ROUND($T19/MAX($V19,3),2),ROUND($T19/$G$3,2))</f>
        <v>5.32</v>
      </c>
      <c r="K19" s="24" t="n">
        <f aca="false">ROUNDUP($J19*$C$3*7,0)</f>
        <v>112</v>
      </c>
      <c r="L19" s="24" t="n">
        <f aca="false">MAX(0,$K19-$F19-$G19)</f>
        <v>102</v>
      </c>
      <c r="M19" s="23" t="n">
        <v>3966</v>
      </c>
      <c r="N19" s="23" t="n">
        <v>35</v>
      </c>
      <c r="O19" s="24" t="n">
        <f aca="false">$M19+$N19</f>
        <v>4001</v>
      </c>
      <c r="P19" s="25" t="n">
        <f aca="false">MIN($L19,$O19)</f>
        <v>102</v>
      </c>
      <c r="Q19" s="23" t="s">
        <v>99</v>
      </c>
      <c r="R19" s="23" t="n">
        <v>1</v>
      </c>
      <c r="S19" s="23" t="s">
        <v>133</v>
      </c>
      <c r="T19" s="23" t="n">
        <v>101</v>
      </c>
      <c r="U19" s="23" t="n">
        <v>10</v>
      </c>
      <c r="V19" s="23" t="n">
        <v>19</v>
      </c>
      <c r="W19" s="23" t="n">
        <v>5</v>
      </c>
      <c r="X19" s="23" t="n">
        <v>50</v>
      </c>
      <c r="Y19" s="24" t="n">
        <f aca="false">IF($X19=0,"",ROUND($H19/$X19,2))</f>
        <v>1.54</v>
      </c>
      <c r="Z19" s="24" t="str">
        <f aca="false">IF(AND($F19=0,$T19&gt;=5,$W19&gt;=3),"CENSURADO",IF(AND($Y19&lt;&gt;"",$Y19&gt;=3,$T19&gt;=10),"CENSURADO",IF($T19=0,"SIN DATO","CONFIABLE")))</f>
        <v>CENSURADO</v>
      </c>
      <c r="AA19" s="24" t="n">
        <f aca="false">IF($I19=0,"",ROUND($J19/MAX($I19,0.01),2))</f>
        <v>2.07</v>
      </c>
      <c r="AB19" s="24" t="n">
        <f aca="false">IF($J19&lt;=0,"",ROUND(($F19+$G19)/$J19,0))</f>
        <v>2</v>
      </c>
      <c r="AC19" s="26" t="n">
        <f aca="false">IF($AB19="","",$J$3+$AB19)</f>
        <v>46247</v>
      </c>
      <c r="AD19" s="23" t="n">
        <v>0</v>
      </c>
      <c r="AE19" s="23" t="n">
        <v>0</v>
      </c>
      <c r="AF19" s="23" t="n">
        <v>0</v>
      </c>
      <c r="AG19" s="24" t="str">
        <f aca="false">IF($AF19=0,"",MAX(0,180-$AE19))</f>
        <v/>
      </c>
      <c r="AH19" s="27" t="n">
        <v>0</v>
      </c>
      <c r="AI19" s="28" t="str">
        <f aca="false">IF($AF19=0,"",$AF19*$Q$3-$AF19*$N$3)</f>
        <v/>
      </c>
      <c r="AJ19" s="23" t="n">
        <v>0.4</v>
      </c>
      <c r="AK19" s="28" t="n">
        <f aca="false">ROUND($F19*$AJ19,0)</f>
        <v>0</v>
      </c>
      <c r="AL19" s="25" t="str">
        <f aca="false">IF(AND($F19=0,$T19&gt;0,$O19=0),"QUIEBRE Y SIN STOCK PARA ENVIAR",IF(AND($F19=0,$T19&gt;0),"QUIEBRE",IF($F19=0,"SIN STOCK SIN DEMANDA",IF(AND($AF19&gt;0,$AG19&lt;&gt;"",OR($AB19="",$AB19&gt;$AG19)),"STOCK VIEJO EN RIESGO",IF(AND($T19=0,$H19=0),"SIN ROTACION",IF($AB19="","-",IF($AB19&lt;14,"REPONER",IF($AB19&gt;84,"SOBRE-STOCK","EN RANGO"))))))))</f>
        <v>QUIEBRE</v>
      </c>
    </row>
    <row r="20" customFormat="false" ht="15" hidden="false" customHeight="false" outlineLevel="0" collapsed="false">
      <c r="A20" s="4" t="s">
        <v>94</v>
      </c>
      <c r="B20" s="23" t="s">
        <v>150</v>
      </c>
      <c r="C20" s="23" t="s">
        <v>151</v>
      </c>
      <c r="D20" s="23" t="s">
        <v>152</v>
      </c>
      <c r="E20" s="23" t="s">
        <v>153</v>
      </c>
      <c r="F20" s="23" t="n">
        <v>0</v>
      </c>
      <c r="G20" s="23" t="n">
        <v>10</v>
      </c>
      <c r="H20" s="23" t="n">
        <v>73</v>
      </c>
      <c r="I20" s="24" t="n">
        <f aca="false">ROUND($H20/30,2)</f>
        <v>2.43</v>
      </c>
      <c r="J20" s="25" t="n">
        <f aca="false">IF($Z20="CENSURADO",ROUND($T20/MAX($V20,3),2),ROUND($T20/$G$3,2))</f>
        <v>4.13</v>
      </c>
      <c r="K20" s="24" t="n">
        <f aca="false">ROUNDUP($J20*$C$3*7,0)</f>
        <v>87</v>
      </c>
      <c r="L20" s="24" t="n">
        <f aca="false">MAX(0,$K20-$F20-$G20)</f>
        <v>77</v>
      </c>
      <c r="M20" s="23" t="n">
        <v>1221</v>
      </c>
      <c r="N20" s="23" t="n">
        <v>15</v>
      </c>
      <c r="O20" s="24" t="n">
        <f aca="false">$M20+$N20</f>
        <v>1236</v>
      </c>
      <c r="P20" s="25" t="n">
        <f aca="false">MIN($L20,$O20)</f>
        <v>77</v>
      </c>
      <c r="Q20" s="23" t="s">
        <v>99</v>
      </c>
      <c r="R20" s="23" t="n">
        <v>1</v>
      </c>
      <c r="S20" s="23" t="s">
        <v>100</v>
      </c>
      <c r="T20" s="23" t="n">
        <v>95</v>
      </c>
      <c r="U20" s="23" t="n">
        <v>16</v>
      </c>
      <c r="V20" s="23" t="n">
        <v>23</v>
      </c>
      <c r="W20" s="23" t="n">
        <v>3</v>
      </c>
      <c r="X20" s="23" t="n">
        <v>54</v>
      </c>
      <c r="Y20" s="24" t="n">
        <f aca="false">IF($X20=0,"",ROUND($H20/$X20,2))</f>
        <v>1.35</v>
      </c>
      <c r="Z20" s="24" t="str">
        <f aca="false">IF(AND($F20=0,$T20&gt;=5,$W20&gt;=3),"CENSURADO",IF(AND($Y20&lt;&gt;"",$Y20&gt;=3,$T20&gt;=10),"CENSURADO",IF($T20=0,"SIN DATO","CONFIABLE")))</f>
        <v>CENSURADO</v>
      </c>
      <c r="AA20" s="24" t="n">
        <f aca="false">IF($I20=0,"",ROUND($J20/MAX($I20,0.01),2))</f>
        <v>1.7</v>
      </c>
      <c r="AB20" s="24" t="n">
        <f aca="false">IF($J20&lt;=0,"",ROUND(($F20+$G20)/$J20,0))</f>
        <v>2</v>
      </c>
      <c r="AC20" s="26" t="n">
        <f aca="false">IF($AB20="","",$J$3+$AB20)</f>
        <v>46247</v>
      </c>
      <c r="AD20" s="23" t="n">
        <v>0</v>
      </c>
      <c r="AE20" s="23" t="n">
        <v>0</v>
      </c>
      <c r="AF20" s="23" t="n">
        <v>0</v>
      </c>
      <c r="AG20" s="24" t="str">
        <f aca="false">IF($AF20=0,"",MAX(0,180-$AE20))</f>
        <v/>
      </c>
      <c r="AH20" s="27" t="n">
        <v>0</v>
      </c>
      <c r="AI20" s="28" t="str">
        <f aca="false">IF($AF20=0,"",$AF20*$Q$3-$AF20*$N$3)</f>
        <v/>
      </c>
      <c r="AJ20" s="23" t="n">
        <v>3.16</v>
      </c>
      <c r="AK20" s="28" t="n">
        <f aca="false">ROUND($F20*$AJ20,0)</f>
        <v>0</v>
      </c>
      <c r="AL20" s="25" t="str">
        <f aca="false">IF(AND($F20=0,$T20&gt;0,$O20=0),"QUIEBRE Y SIN STOCK PARA ENVIAR",IF(AND($F20=0,$T20&gt;0),"QUIEBRE",IF($F20=0,"SIN STOCK SIN DEMANDA",IF(AND($AF20&gt;0,$AG20&lt;&gt;"",OR($AB20="",$AB20&gt;$AG20)),"STOCK VIEJO EN RIESGO",IF(AND($T20=0,$H20=0),"SIN ROTACION",IF($AB20="","-",IF($AB20&lt;14,"REPONER",IF($AB20&gt;84,"SOBRE-STOCK","EN RANGO"))))))))</f>
        <v>QUIEBRE</v>
      </c>
    </row>
    <row r="21" customFormat="false" ht="15" hidden="false" customHeight="false" outlineLevel="0" collapsed="false">
      <c r="A21" s="4" t="s">
        <v>94</v>
      </c>
      <c r="B21" s="23" t="s">
        <v>154</v>
      </c>
      <c r="C21" s="23" t="s">
        <v>155</v>
      </c>
      <c r="D21" s="23" t="s">
        <v>156</v>
      </c>
      <c r="E21" s="23" t="s">
        <v>157</v>
      </c>
      <c r="F21" s="23" t="n">
        <v>0</v>
      </c>
      <c r="G21" s="23" t="n">
        <v>30</v>
      </c>
      <c r="H21" s="23" t="n">
        <v>44</v>
      </c>
      <c r="I21" s="24" t="n">
        <f aca="false">ROUND($H21/30,2)</f>
        <v>1.47</v>
      </c>
      <c r="J21" s="25" t="n">
        <f aca="false">IF($Z21="CENSURADO",ROUND($T21/MAX($V21,3),2),ROUND($T21/$G$3,2))</f>
        <v>2.53</v>
      </c>
      <c r="K21" s="24" t="n">
        <f aca="false">ROUNDUP($J21*$C$3*7,0)</f>
        <v>54</v>
      </c>
      <c r="L21" s="24" t="n">
        <f aca="false">MAX(0,$K21-$F21-$G21)</f>
        <v>24</v>
      </c>
      <c r="M21" s="23" t="n">
        <v>677</v>
      </c>
      <c r="N21" s="23" t="n">
        <v>138</v>
      </c>
      <c r="O21" s="24" t="n">
        <f aca="false">$M21+$N21</f>
        <v>815</v>
      </c>
      <c r="P21" s="25" t="n">
        <f aca="false">MIN($L21,$O21)</f>
        <v>24</v>
      </c>
      <c r="Q21" s="23" t="s">
        <v>99</v>
      </c>
      <c r="R21" s="23" t="n">
        <v>1</v>
      </c>
      <c r="S21" s="23" t="s">
        <v>133</v>
      </c>
      <c r="T21" s="23" t="n">
        <v>81</v>
      </c>
      <c r="U21" s="23" t="n">
        <v>28</v>
      </c>
      <c r="V21" s="23" t="n">
        <v>31</v>
      </c>
      <c r="W21" s="23" t="n">
        <v>0</v>
      </c>
      <c r="X21" s="23" t="n">
        <v>23</v>
      </c>
      <c r="Y21" s="24" t="n">
        <f aca="false">IF($X21=0,"",ROUND($H21/$X21,2))</f>
        <v>1.91</v>
      </c>
      <c r="Z21" s="24" t="str">
        <f aca="false">IF(AND($F21=0,$T21&gt;=5,$W21&gt;=3),"CENSURADO",IF(AND($Y21&lt;&gt;"",$Y21&gt;=3,$T21&gt;=10),"CENSURADO",IF($T21=0,"SIN DATO","CONFIABLE")))</f>
        <v>CONFIABLE</v>
      </c>
      <c r="AA21" s="24" t="n">
        <f aca="false">IF($I21=0,"",ROUND($J21/MAX($I21,0.01),2))</f>
        <v>1.72</v>
      </c>
      <c r="AB21" s="24" t="n">
        <f aca="false">IF($J21&lt;=0,"",ROUND(($F21+$G21)/$J21,0))</f>
        <v>12</v>
      </c>
      <c r="AC21" s="26" t="n">
        <f aca="false">IF($AB21="","",$J$3+$AB21)</f>
        <v>46257</v>
      </c>
      <c r="AD21" s="23" t="n">
        <v>0</v>
      </c>
      <c r="AE21" s="23" t="n">
        <v>0</v>
      </c>
      <c r="AF21" s="23" t="n">
        <v>0</v>
      </c>
      <c r="AG21" s="24" t="str">
        <f aca="false">IF($AF21=0,"",MAX(0,180-$AE21))</f>
        <v/>
      </c>
      <c r="AH21" s="27" t="n">
        <v>0</v>
      </c>
      <c r="AI21" s="28" t="str">
        <f aca="false">IF($AF21=0,"",$AF21*$Q$3-$AF21*$N$3)</f>
        <v/>
      </c>
      <c r="AJ21" s="23" t="n">
        <v>1.44</v>
      </c>
      <c r="AK21" s="28" t="n">
        <f aca="false">ROUND($F21*$AJ21,0)</f>
        <v>0</v>
      </c>
      <c r="AL21" s="25" t="str">
        <f aca="false">IF(AND($F21=0,$T21&gt;0,$O21=0),"QUIEBRE Y SIN STOCK PARA ENVIAR",IF(AND($F21=0,$T21&gt;0),"QUIEBRE",IF($F21=0,"SIN STOCK SIN DEMANDA",IF(AND($AF21&gt;0,$AG21&lt;&gt;"",OR($AB21="",$AB21&gt;$AG21)),"STOCK VIEJO EN RIESGO",IF(AND($T21=0,$H21=0),"SIN ROTACION",IF($AB21="","-",IF($AB21&lt;14,"REPONER",IF($AB21&gt;84,"SOBRE-STOCK","EN RANGO"))))))))</f>
        <v>QUIEBRE</v>
      </c>
    </row>
    <row r="22" customFormat="false" ht="15" hidden="false" customHeight="false" outlineLevel="0" collapsed="false">
      <c r="A22" s="4" t="s">
        <v>94</v>
      </c>
      <c r="B22" s="23" t="s">
        <v>158</v>
      </c>
      <c r="C22" s="23" t="s">
        <v>159</v>
      </c>
      <c r="D22" s="23" t="s">
        <v>160</v>
      </c>
      <c r="E22" s="23" t="s">
        <v>161</v>
      </c>
      <c r="F22" s="23" t="n">
        <v>0</v>
      </c>
      <c r="G22" s="23" t="n">
        <v>0</v>
      </c>
      <c r="H22" s="23" t="n">
        <v>50</v>
      </c>
      <c r="I22" s="24" t="n">
        <f aca="false">ROUND($H22/30,2)</f>
        <v>1.67</v>
      </c>
      <c r="J22" s="25" t="n">
        <f aca="false">IF($Z22="CENSURADO",ROUND($T22/MAX($V22,3),2),ROUND($T22/$G$3,2))</f>
        <v>5.2</v>
      </c>
      <c r="K22" s="24" t="n">
        <f aca="false">ROUNDUP($J22*$C$3*7,0)</f>
        <v>110</v>
      </c>
      <c r="L22" s="24" t="n">
        <f aca="false">MAX(0,$K22-$F22-$G22)</f>
        <v>110</v>
      </c>
      <c r="M22" s="23" t="n">
        <v>0</v>
      </c>
      <c r="N22" s="23" t="n">
        <v>0</v>
      </c>
      <c r="O22" s="24" t="n">
        <f aca="false">$M22+$N22</f>
        <v>0</v>
      </c>
      <c r="P22" s="25" t="n">
        <f aca="false">MIN($L22,$O22)</f>
        <v>0</v>
      </c>
      <c r="Q22" s="23"/>
      <c r="R22" s="23" t="n">
        <v>2</v>
      </c>
      <c r="S22" s="23" t="s">
        <v>100</v>
      </c>
      <c r="T22" s="23" t="n">
        <v>78</v>
      </c>
      <c r="U22" s="23" t="n">
        <v>13</v>
      </c>
      <c r="V22" s="23" t="n">
        <v>15</v>
      </c>
      <c r="W22" s="23" t="n">
        <v>17</v>
      </c>
      <c r="X22" s="23" t="n">
        <v>10</v>
      </c>
      <c r="Y22" s="24" t="n">
        <f aca="false">IF($X22=0,"",ROUND($H22/$X22,2))</f>
        <v>5</v>
      </c>
      <c r="Z22" s="24" t="str">
        <f aca="false">IF(AND($F22=0,$T22&gt;=5,$W22&gt;=3),"CENSURADO",IF(AND($Y22&lt;&gt;"",$Y22&gt;=3,$T22&gt;=10),"CENSURADO",IF($T22=0,"SIN DATO","CONFIABLE")))</f>
        <v>CENSURADO</v>
      </c>
      <c r="AA22" s="24" t="n">
        <f aca="false">IF($I22=0,"",ROUND($J22/MAX($I22,0.01),2))</f>
        <v>3.11</v>
      </c>
      <c r="AB22" s="24" t="n">
        <f aca="false">IF($J22&lt;=0,"",ROUND(($F22+$G22)/$J22,0))</f>
        <v>0</v>
      </c>
      <c r="AC22" s="26" t="n">
        <f aca="false">IF($AB22="","",$J$3+$AB22)</f>
        <v>46245</v>
      </c>
      <c r="AD22" s="23" t="n">
        <v>0</v>
      </c>
      <c r="AE22" s="23" t="n">
        <v>0</v>
      </c>
      <c r="AF22" s="23" t="n">
        <v>0</v>
      </c>
      <c r="AG22" s="24" t="str">
        <f aca="false">IF($AF22=0,"",MAX(0,180-$AE22))</f>
        <v/>
      </c>
      <c r="AH22" s="27" t="n">
        <v>0</v>
      </c>
      <c r="AI22" s="28" t="str">
        <f aca="false">IF($AF22=0,"",$AF22*$Q$3-$AF22*$N$3)</f>
        <v/>
      </c>
      <c r="AJ22" s="23" t="n">
        <v>0.61</v>
      </c>
      <c r="AK22" s="28" t="n">
        <f aca="false">ROUND($F22*$AJ22,0)</f>
        <v>0</v>
      </c>
      <c r="AL22" s="25" t="str">
        <f aca="false">IF(AND($F22=0,$T22&gt;0,$O22=0),"QUIEBRE Y SIN STOCK PARA ENVIAR",IF(AND($F22=0,$T22&gt;0),"QUIEBRE",IF($F22=0,"SIN STOCK SIN DEMANDA",IF(AND($AF22&gt;0,$AG22&lt;&gt;"",OR($AB22="",$AB22&gt;$AG22)),"STOCK VIEJO EN RIESGO",IF(AND($T22=0,$H22=0),"SIN ROTACION",IF($AB22="","-",IF($AB22&lt;14,"REPONER",IF($AB22&gt;84,"SOBRE-STOCK","EN RANGO"))))))))</f>
        <v>QUIEBRE Y SIN STOCK PARA ENVIAR</v>
      </c>
    </row>
    <row r="23" customFormat="false" ht="15" hidden="false" customHeight="false" outlineLevel="0" collapsed="false">
      <c r="A23" s="4" t="s">
        <v>94</v>
      </c>
      <c r="B23" s="23" t="s">
        <v>162</v>
      </c>
      <c r="C23" s="23" t="s">
        <v>163</v>
      </c>
      <c r="D23" s="23" t="s">
        <v>164</v>
      </c>
      <c r="E23" s="23" t="s">
        <v>165</v>
      </c>
      <c r="F23" s="23" t="n">
        <v>3</v>
      </c>
      <c r="G23" s="23" t="n">
        <v>10</v>
      </c>
      <c r="H23" s="23" t="n">
        <v>50</v>
      </c>
      <c r="I23" s="24" t="n">
        <f aca="false">ROUND($H23/30,2)</f>
        <v>1.67</v>
      </c>
      <c r="J23" s="25" t="n">
        <f aca="false">IF($Z23="CENSURADO",ROUND($T23/MAX($V23,3),2),ROUND($T23/$G$3,2))</f>
        <v>2.44</v>
      </c>
      <c r="K23" s="24" t="n">
        <f aca="false">ROUNDUP($J23*$C$3*7,0)</f>
        <v>52</v>
      </c>
      <c r="L23" s="24" t="n">
        <f aca="false">MAX(0,$K23-$F23-$G23)</f>
        <v>39</v>
      </c>
      <c r="M23" s="23" t="n">
        <v>1470</v>
      </c>
      <c r="N23" s="23" t="n">
        <v>4</v>
      </c>
      <c r="O23" s="24" t="n">
        <f aca="false">$M23+$N23</f>
        <v>1474</v>
      </c>
      <c r="P23" s="25" t="n">
        <f aca="false">MIN($L23,$O23)</f>
        <v>39</v>
      </c>
      <c r="Q23" s="23" t="s">
        <v>99</v>
      </c>
      <c r="R23" s="23" t="n">
        <v>1</v>
      </c>
      <c r="S23" s="23" t="s">
        <v>100</v>
      </c>
      <c r="T23" s="23" t="n">
        <v>78</v>
      </c>
      <c r="U23" s="23" t="n">
        <v>24</v>
      </c>
      <c r="V23" s="23" t="n">
        <v>28</v>
      </c>
      <c r="W23" s="23" t="n">
        <v>0</v>
      </c>
      <c r="X23" s="23" t="n">
        <v>33</v>
      </c>
      <c r="Y23" s="24" t="n">
        <f aca="false">IF($X23=0,"",ROUND($H23/$X23,2))</f>
        <v>1.52</v>
      </c>
      <c r="Z23" s="24" t="str">
        <f aca="false">IF(AND($F23=0,$T23&gt;=5,$W23&gt;=3),"CENSURADO",IF(AND($Y23&lt;&gt;"",$Y23&gt;=3,$T23&gt;=10),"CENSURADO",IF($T23=0,"SIN DATO","CONFIABLE")))</f>
        <v>CONFIABLE</v>
      </c>
      <c r="AA23" s="24" t="n">
        <f aca="false">IF($I23=0,"",ROUND($J23/MAX($I23,0.01),2))</f>
        <v>1.46</v>
      </c>
      <c r="AB23" s="24" t="n">
        <f aca="false">IF($J23&lt;=0,"",ROUND(($F23+$G23)/$J23,0))</f>
        <v>5</v>
      </c>
      <c r="AC23" s="26" t="n">
        <f aca="false">IF($AB23="","",$J$3+$AB23)</f>
        <v>46250</v>
      </c>
      <c r="AD23" s="23" t="n">
        <v>0</v>
      </c>
      <c r="AE23" s="23" t="n">
        <v>0</v>
      </c>
      <c r="AF23" s="23" t="n">
        <v>0</v>
      </c>
      <c r="AG23" s="24" t="str">
        <f aca="false">IF($AF23=0,"",MAX(0,180-$AE23))</f>
        <v/>
      </c>
      <c r="AH23" s="27" t="n">
        <v>0</v>
      </c>
      <c r="AI23" s="28" t="str">
        <f aca="false">IF($AF23=0,"",$AF23*$Q$3-$AF23*$N$3)</f>
        <v/>
      </c>
      <c r="AJ23" s="23" t="n">
        <v>3.84</v>
      </c>
      <c r="AK23" s="28" t="n">
        <f aca="false">ROUND($F23*$AJ23,0)</f>
        <v>12</v>
      </c>
      <c r="AL23" s="25" t="str">
        <f aca="false">IF(AND($F23=0,$T23&gt;0,$O23=0),"QUIEBRE Y SIN STOCK PARA ENVIAR",IF(AND($F23=0,$T23&gt;0),"QUIEBRE",IF($F23=0,"SIN STOCK SIN DEMANDA",IF(AND($AF23&gt;0,$AG23&lt;&gt;"",OR($AB23="",$AB23&gt;$AG23)),"STOCK VIEJO EN RIESGO",IF(AND($T23=0,$H23=0),"SIN ROTACION",IF($AB23="","-",IF($AB23&lt;14,"REPONER",IF($AB23&gt;84,"SOBRE-STOCK","EN RANGO"))))))))</f>
        <v>REPONER</v>
      </c>
    </row>
    <row r="24" customFormat="false" ht="15" hidden="false" customHeight="false" outlineLevel="0" collapsed="false">
      <c r="A24" s="4" t="s">
        <v>94</v>
      </c>
      <c r="B24" s="23" t="s">
        <v>166</v>
      </c>
      <c r="C24" s="23" t="s">
        <v>167</v>
      </c>
      <c r="D24" s="23" t="s">
        <v>168</v>
      </c>
      <c r="E24" s="23" t="s">
        <v>169</v>
      </c>
      <c r="F24" s="23" t="n">
        <v>4</v>
      </c>
      <c r="G24" s="23" t="n">
        <v>0</v>
      </c>
      <c r="H24" s="23" t="n">
        <v>20</v>
      </c>
      <c r="I24" s="24" t="n">
        <f aca="false">ROUND($H24/30,2)</f>
        <v>0.67</v>
      </c>
      <c r="J24" s="25" t="n">
        <f aca="false">IF($Z24="CENSURADO",ROUND($T24/MAX($V24,3),2),ROUND($T24/$G$3,2))</f>
        <v>2.25</v>
      </c>
      <c r="K24" s="24" t="n">
        <f aca="false">ROUNDUP($J24*$C$3*7,0)</f>
        <v>48</v>
      </c>
      <c r="L24" s="24" t="n">
        <f aca="false">MAX(0,$K24-$F24-$G24)</f>
        <v>44</v>
      </c>
      <c r="M24" s="23" t="n">
        <v>726</v>
      </c>
      <c r="N24" s="23" t="n">
        <v>2616</v>
      </c>
      <c r="O24" s="24" t="n">
        <f aca="false">$M24+$N24</f>
        <v>3342</v>
      </c>
      <c r="P24" s="25" t="n">
        <f aca="false">MIN($L24,$O24)</f>
        <v>44</v>
      </c>
      <c r="Q24" s="23" t="s">
        <v>99</v>
      </c>
      <c r="R24" s="23" t="n">
        <v>1</v>
      </c>
      <c r="S24" s="23" t="s">
        <v>100</v>
      </c>
      <c r="T24" s="23" t="n">
        <v>72</v>
      </c>
      <c r="U24" s="23" t="n">
        <v>21</v>
      </c>
      <c r="V24" s="23" t="n">
        <v>29</v>
      </c>
      <c r="W24" s="23" t="n">
        <v>0</v>
      </c>
      <c r="X24" s="23" t="n">
        <v>19</v>
      </c>
      <c r="Y24" s="24" t="n">
        <f aca="false">IF($X24=0,"",ROUND($H24/$X24,2))</f>
        <v>1.05</v>
      </c>
      <c r="Z24" s="24" t="str">
        <f aca="false">IF(AND($F24=0,$T24&gt;=5,$W24&gt;=3),"CENSURADO",IF(AND($Y24&lt;&gt;"",$Y24&gt;=3,$T24&gt;=10),"CENSURADO",IF($T24=0,"SIN DATO","CONFIABLE")))</f>
        <v>CONFIABLE</v>
      </c>
      <c r="AA24" s="24" t="n">
        <f aca="false">IF($I24=0,"",ROUND($J24/MAX($I24,0.01),2))</f>
        <v>3.36</v>
      </c>
      <c r="AB24" s="24" t="n">
        <f aca="false">IF($J24&lt;=0,"",ROUND(($F24+$G24)/$J24,0))</f>
        <v>2</v>
      </c>
      <c r="AC24" s="26" t="n">
        <f aca="false">IF($AB24="","",$J$3+$AB24)</f>
        <v>46247</v>
      </c>
      <c r="AD24" s="23" t="n">
        <v>0</v>
      </c>
      <c r="AE24" s="23" t="n">
        <v>0</v>
      </c>
      <c r="AF24" s="23" t="n">
        <v>0</v>
      </c>
      <c r="AG24" s="24" t="str">
        <f aca="false">IF($AF24=0,"",MAX(0,180-$AE24))</f>
        <v/>
      </c>
      <c r="AH24" s="27" t="n">
        <v>0</v>
      </c>
      <c r="AI24" s="28" t="str">
        <f aca="false">IF($AF24=0,"",$AF24*$Q$3-$AF24*$N$3)</f>
        <v/>
      </c>
      <c r="AJ24" s="23" t="n">
        <v>2.66</v>
      </c>
      <c r="AK24" s="28" t="n">
        <f aca="false">ROUND($F24*$AJ24,0)</f>
        <v>11</v>
      </c>
      <c r="AL24" s="25" t="str">
        <f aca="false">IF(AND($F24=0,$T24&gt;0,$O24=0),"QUIEBRE Y SIN STOCK PARA ENVIAR",IF(AND($F24=0,$T24&gt;0),"QUIEBRE",IF($F24=0,"SIN STOCK SIN DEMANDA",IF(AND($AF24&gt;0,$AG24&lt;&gt;"",OR($AB24="",$AB24&gt;$AG24)),"STOCK VIEJO EN RIESGO",IF(AND($T24=0,$H24=0),"SIN ROTACION",IF($AB24="","-",IF($AB24&lt;14,"REPONER",IF($AB24&gt;84,"SOBRE-STOCK","EN RANGO"))))))))</f>
        <v>REPONER</v>
      </c>
    </row>
    <row r="25" customFormat="false" ht="15" hidden="false" customHeight="false" outlineLevel="0" collapsed="false">
      <c r="A25" s="4" t="s">
        <v>94</v>
      </c>
      <c r="B25" s="23" t="s">
        <v>170</v>
      </c>
      <c r="C25" s="23" t="s">
        <v>171</v>
      </c>
      <c r="D25" s="23" t="s">
        <v>172</v>
      </c>
      <c r="E25" s="23" t="s">
        <v>173</v>
      </c>
      <c r="F25" s="23" t="n">
        <v>0</v>
      </c>
      <c r="G25" s="23" t="n">
        <v>0</v>
      </c>
      <c r="H25" s="23" t="n">
        <v>42</v>
      </c>
      <c r="I25" s="24" t="n">
        <f aca="false">ROUND($H25/30,2)</f>
        <v>1.4</v>
      </c>
      <c r="J25" s="25" t="n">
        <f aca="false">IF($Z25="CENSURADO",ROUND($T25/MAX($V25,3),2),ROUND($T25/$G$3,2))</f>
        <v>1.72</v>
      </c>
      <c r="K25" s="24" t="n">
        <f aca="false">ROUNDUP($J25*$C$3*7,0)</f>
        <v>37</v>
      </c>
      <c r="L25" s="24" t="n">
        <f aca="false">MAX(0,$K25-$F25-$G25)</f>
        <v>37</v>
      </c>
      <c r="M25" s="23" t="n">
        <v>0</v>
      </c>
      <c r="N25" s="23" t="n">
        <v>0</v>
      </c>
      <c r="O25" s="24" t="n">
        <f aca="false">$M25+$N25</f>
        <v>0</v>
      </c>
      <c r="P25" s="25" t="n">
        <f aca="false">MIN($L25,$O25)</f>
        <v>0</v>
      </c>
      <c r="Q25" s="23" t="s">
        <v>99</v>
      </c>
      <c r="R25" s="23" t="n">
        <v>1</v>
      </c>
      <c r="S25" s="23" t="s">
        <v>133</v>
      </c>
      <c r="T25" s="23" t="n">
        <v>55</v>
      </c>
      <c r="U25" s="23" t="n">
        <v>24</v>
      </c>
      <c r="V25" s="23" t="n">
        <v>32</v>
      </c>
      <c r="W25" s="23" t="n">
        <v>0</v>
      </c>
      <c r="X25" s="23" t="n">
        <v>15</v>
      </c>
      <c r="Y25" s="24" t="n">
        <f aca="false">IF($X25=0,"",ROUND($H25/$X25,2))</f>
        <v>2.8</v>
      </c>
      <c r="Z25" s="24" t="str">
        <f aca="false">IF(AND($F25=0,$T25&gt;=5,$W25&gt;=3),"CENSURADO",IF(AND($Y25&lt;&gt;"",$Y25&gt;=3,$T25&gt;=10),"CENSURADO",IF($T25=0,"SIN DATO","CONFIABLE")))</f>
        <v>CONFIABLE</v>
      </c>
      <c r="AA25" s="24" t="n">
        <f aca="false">IF($I25=0,"",ROUND($J25/MAX($I25,0.01),2))</f>
        <v>1.23</v>
      </c>
      <c r="AB25" s="24" t="n">
        <f aca="false">IF($J25&lt;=0,"",ROUND(($F25+$G25)/$J25,0))</f>
        <v>0</v>
      </c>
      <c r="AC25" s="26" t="n">
        <f aca="false">IF($AB25="","",$J$3+$AB25)</f>
        <v>46245</v>
      </c>
      <c r="AD25" s="23" t="n">
        <v>0</v>
      </c>
      <c r="AE25" s="23" t="n">
        <v>0</v>
      </c>
      <c r="AF25" s="23" t="n">
        <v>0</v>
      </c>
      <c r="AG25" s="24" t="str">
        <f aca="false">IF($AF25=0,"",MAX(0,180-$AE25))</f>
        <v/>
      </c>
      <c r="AH25" s="27" t="n">
        <v>0</v>
      </c>
      <c r="AI25" s="28" t="str">
        <f aca="false">IF($AF25=0,"",$AF25*$Q$3-$AF25*$N$3)</f>
        <v/>
      </c>
      <c r="AJ25" s="23" t="n">
        <v>0</v>
      </c>
      <c r="AK25" s="28" t="n">
        <f aca="false">ROUND($F25*$AJ25,0)</f>
        <v>0</v>
      </c>
      <c r="AL25" s="25" t="str">
        <f aca="false">IF(AND($F25=0,$T25&gt;0,$O25=0),"QUIEBRE Y SIN STOCK PARA ENVIAR",IF(AND($F25=0,$T25&gt;0),"QUIEBRE",IF($F25=0,"SIN STOCK SIN DEMANDA",IF(AND($AF25&gt;0,$AG25&lt;&gt;"",OR($AB25="",$AB25&gt;$AG25)),"STOCK VIEJO EN RIESGO",IF(AND($T25=0,$H25=0),"SIN ROTACION",IF($AB25="","-",IF($AB25&lt;14,"REPONER",IF($AB25&gt;84,"SOBRE-STOCK","EN RANGO"))))))))</f>
        <v>QUIEBRE Y SIN STOCK PARA ENVIAR</v>
      </c>
    </row>
    <row r="26" customFormat="false" ht="15" hidden="false" customHeight="false" outlineLevel="0" collapsed="false">
      <c r="A26" s="4" t="s">
        <v>94</v>
      </c>
      <c r="B26" s="23" t="s">
        <v>174</v>
      </c>
      <c r="C26" s="23" t="s">
        <v>175</v>
      </c>
      <c r="D26" s="23" t="s">
        <v>176</v>
      </c>
      <c r="E26" s="23" t="s">
        <v>177</v>
      </c>
      <c r="F26" s="23" t="n">
        <v>18</v>
      </c>
      <c r="G26" s="23" t="n">
        <v>0</v>
      </c>
      <c r="H26" s="23" t="n">
        <v>12</v>
      </c>
      <c r="I26" s="24" t="n">
        <f aca="false">ROUND($H26/30,2)</f>
        <v>0.4</v>
      </c>
      <c r="J26" s="25" t="n">
        <f aca="false">IF($Z26="CENSURADO",ROUND($T26/MAX($V26,3),2),ROUND($T26/$G$3,2))</f>
        <v>1.53</v>
      </c>
      <c r="K26" s="24" t="n">
        <f aca="false">ROUNDUP($J26*$C$3*7,0)</f>
        <v>33</v>
      </c>
      <c r="L26" s="24" t="n">
        <f aca="false">MAX(0,$K26-$F26-$G26)</f>
        <v>15</v>
      </c>
      <c r="M26" s="23" t="n">
        <v>525</v>
      </c>
      <c r="N26" s="23" t="n">
        <v>1016</v>
      </c>
      <c r="O26" s="24" t="n">
        <f aca="false">$M26+$N26</f>
        <v>1541</v>
      </c>
      <c r="P26" s="25" t="n">
        <f aca="false">MIN($L26,$O26)</f>
        <v>15</v>
      </c>
      <c r="Q26" s="23" t="s">
        <v>99</v>
      </c>
      <c r="R26" s="23" t="n">
        <v>1</v>
      </c>
      <c r="S26" s="23" t="s">
        <v>100</v>
      </c>
      <c r="T26" s="23" t="n">
        <v>49</v>
      </c>
      <c r="U26" s="23" t="n">
        <v>9</v>
      </c>
      <c r="V26" s="23" t="n">
        <v>24</v>
      </c>
      <c r="W26" s="23" t="n">
        <v>6</v>
      </c>
      <c r="X26" s="23" t="n">
        <v>25</v>
      </c>
      <c r="Y26" s="24" t="n">
        <f aca="false">IF($X26=0,"",ROUND($H26/$X26,2))</f>
        <v>0.48</v>
      </c>
      <c r="Z26" s="24" t="str">
        <f aca="false">IF(AND($F26=0,$T26&gt;=5,$W26&gt;=3),"CENSURADO",IF(AND($Y26&lt;&gt;"",$Y26&gt;=3,$T26&gt;=10),"CENSURADO",IF($T26=0,"SIN DATO","CONFIABLE")))</f>
        <v>CONFIABLE</v>
      </c>
      <c r="AA26" s="24" t="n">
        <f aca="false">IF($I26=0,"",ROUND($J26/MAX($I26,0.01),2))</f>
        <v>3.83</v>
      </c>
      <c r="AB26" s="24" t="n">
        <f aca="false">IF($J26&lt;=0,"",ROUND(($F26+$G26)/$J26,0))</f>
        <v>12</v>
      </c>
      <c r="AC26" s="26" t="n">
        <f aca="false">IF($AB26="","",$J$3+$AB26)</f>
        <v>46257</v>
      </c>
      <c r="AD26" s="23" t="n">
        <v>0</v>
      </c>
      <c r="AE26" s="23" t="n">
        <v>205</v>
      </c>
      <c r="AF26" s="23" t="n">
        <v>1</v>
      </c>
      <c r="AG26" s="24" t="n">
        <f aca="false">IF($AF26=0,"",MAX(0,180-$AE26))</f>
        <v>0</v>
      </c>
      <c r="AH26" s="27" t="n">
        <v>45320</v>
      </c>
      <c r="AI26" s="28" t="n">
        <f aca="false">IF($AF26=0,"",$AF26*$Q$3-$AF26*$N$3)</f>
        <v>4015</v>
      </c>
      <c r="AJ26" s="23" t="n">
        <v>2.14</v>
      </c>
      <c r="AK26" s="28" t="n">
        <f aca="false">ROUND($F26*$AJ26,0)</f>
        <v>39</v>
      </c>
      <c r="AL26" s="25" t="str">
        <f aca="false">IF(AND($F26=0,$T26&gt;0,$O26=0),"QUIEBRE Y SIN STOCK PARA ENVIAR",IF(AND($F26=0,$T26&gt;0),"QUIEBRE",IF($F26=0,"SIN STOCK SIN DEMANDA",IF(AND($AF26&gt;0,$AG26&lt;&gt;"",OR($AB26="",$AB26&gt;$AG26)),"STOCK VIEJO EN RIESGO",IF(AND($T26=0,$H26=0),"SIN ROTACION",IF($AB26="","-",IF($AB26&lt;14,"REPONER",IF($AB26&gt;84,"SOBRE-STOCK","EN RANGO"))))))))</f>
        <v>STOCK VIEJO EN RIESGO</v>
      </c>
    </row>
    <row r="27" customFormat="false" ht="15" hidden="false" customHeight="false" outlineLevel="0" collapsed="false">
      <c r="A27" s="4" t="s">
        <v>94</v>
      </c>
      <c r="B27" s="23" t="s">
        <v>178</v>
      </c>
      <c r="C27" s="23" t="s">
        <v>179</v>
      </c>
      <c r="D27" s="23" t="s">
        <v>180</v>
      </c>
      <c r="E27" s="23" t="s">
        <v>181</v>
      </c>
      <c r="F27" s="23" t="n">
        <v>0</v>
      </c>
      <c r="G27" s="23" t="n">
        <v>0</v>
      </c>
      <c r="H27" s="23" t="n">
        <v>40</v>
      </c>
      <c r="I27" s="24" t="n">
        <f aca="false">ROUND($H27/30,2)</f>
        <v>1.33</v>
      </c>
      <c r="J27" s="25" t="n">
        <f aca="false">IF($Z27="CENSURADO",ROUND($T27/MAX($V27,3),2),ROUND($T27/$G$3,2))</f>
        <v>2</v>
      </c>
      <c r="K27" s="24" t="n">
        <f aca="false">ROUNDUP($J27*$C$3*7,0)</f>
        <v>42</v>
      </c>
      <c r="L27" s="24" t="n">
        <f aca="false">MAX(0,$K27-$F27-$G27)</f>
        <v>42</v>
      </c>
      <c r="M27" s="23" t="n">
        <v>10</v>
      </c>
      <c r="N27" s="23" t="n">
        <v>0</v>
      </c>
      <c r="O27" s="24" t="n">
        <f aca="false">$M27+$N27</f>
        <v>10</v>
      </c>
      <c r="P27" s="25" t="n">
        <f aca="false">MIN($L27,$O27)</f>
        <v>10</v>
      </c>
      <c r="Q27" s="23"/>
      <c r="R27" s="23" t="n">
        <v>1</v>
      </c>
      <c r="S27" s="23" t="s">
        <v>100</v>
      </c>
      <c r="T27" s="23" t="n">
        <v>46</v>
      </c>
      <c r="U27" s="23" t="n">
        <v>10</v>
      </c>
      <c r="V27" s="23" t="n">
        <v>23</v>
      </c>
      <c r="W27" s="23" t="n">
        <v>6</v>
      </c>
      <c r="X27" s="23" t="n">
        <v>14</v>
      </c>
      <c r="Y27" s="24" t="n">
        <f aca="false">IF($X27=0,"",ROUND($H27/$X27,2))</f>
        <v>2.86</v>
      </c>
      <c r="Z27" s="24" t="str">
        <f aca="false">IF(AND($F27=0,$T27&gt;=5,$W27&gt;=3),"CENSURADO",IF(AND($Y27&lt;&gt;"",$Y27&gt;=3,$T27&gt;=10),"CENSURADO",IF($T27=0,"SIN DATO","CONFIABLE")))</f>
        <v>CENSURADO</v>
      </c>
      <c r="AA27" s="24" t="n">
        <f aca="false">IF($I27=0,"",ROUND($J27/MAX($I27,0.01),2))</f>
        <v>1.5</v>
      </c>
      <c r="AB27" s="24" t="n">
        <f aca="false">IF($J27&lt;=0,"",ROUND(($F27+$G27)/$J27,0))</f>
        <v>0</v>
      </c>
      <c r="AC27" s="26" t="n">
        <f aca="false">IF($AB27="","",$J$3+$AB27)</f>
        <v>46245</v>
      </c>
      <c r="AD27" s="23" t="n">
        <v>0</v>
      </c>
      <c r="AE27" s="23" t="n">
        <v>170</v>
      </c>
      <c r="AF27" s="23" t="n">
        <v>51</v>
      </c>
      <c r="AG27" s="24" t="n">
        <f aca="false">IF($AF27=0,"",MAX(0,180-$AE27))</f>
        <v>10</v>
      </c>
      <c r="AH27" s="27" t="n">
        <v>23970</v>
      </c>
      <c r="AI27" s="28" t="n">
        <f aca="false">IF($AF27=0,"",$AF27*$Q$3-$AF27*$N$3)</f>
        <v>204765</v>
      </c>
      <c r="AJ27" s="23" t="n">
        <v>5.95</v>
      </c>
      <c r="AK27" s="28" t="n">
        <f aca="false">ROUND($F27*$AJ27,0)</f>
        <v>0</v>
      </c>
      <c r="AL27" s="25" t="str">
        <f aca="false">IF(AND($F27=0,$T27&gt;0,$O27=0),"QUIEBRE Y SIN STOCK PARA ENVIAR",IF(AND($F27=0,$T27&gt;0),"QUIEBRE",IF($F27=0,"SIN STOCK SIN DEMANDA",IF(AND($AF27&gt;0,$AG27&lt;&gt;"",OR($AB27="",$AB27&gt;$AG27)),"STOCK VIEJO EN RIESGO",IF(AND($T27=0,$H27=0),"SIN ROTACION",IF($AB27="","-",IF($AB27&lt;14,"REPONER",IF($AB27&gt;84,"SOBRE-STOCK","EN RANGO"))))))))</f>
        <v>QUIEBRE</v>
      </c>
    </row>
    <row r="28" customFormat="false" ht="15" hidden="false" customHeight="false" outlineLevel="0" collapsed="false">
      <c r="A28" s="4" t="s">
        <v>94</v>
      </c>
      <c r="B28" s="23" t="s">
        <v>182</v>
      </c>
      <c r="C28" s="23" t="s">
        <v>183</v>
      </c>
      <c r="D28" s="23" t="s">
        <v>184</v>
      </c>
      <c r="E28" s="23" t="s">
        <v>185</v>
      </c>
      <c r="F28" s="23" t="n">
        <v>0</v>
      </c>
      <c r="G28" s="23" t="n">
        <v>10</v>
      </c>
      <c r="H28" s="23" t="n">
        <v>30</v>
      </c>
      <c r="I28" s="24" t="n">
        <f aca="false">ROUND($H28/30,2)</f>
        <v>1</v>
      </c>
      <c r="J28" s="25" t="n">
        <f aca="false">IF($Z28="CENSURADO",ROUND($T28/MAX($V28,3),2),ROUND($T28/$G$3,2))</f>
        <v>1.41</v>
      </c>
      <c r="K28" s="24" t="n">
        <f aca="false">ROUNDUP($J28*$C$3*7,0)</f>
        <v>30</v>
      </c>
      <c r="L28" s="24" t="n">
        <f aca="false">MAX(0,$K28-$F28-$G28)</f>
        <v>20</v>
      </c>
      <c r="M28" s="23" t="n">
        <v>1799</v>
      </c>
      <c r="N28" s="23" t="n">
        <v>1295</v>
      </c>
      <c r="O28" s="24" t="n">
        <f aca="false">$M28+$N28</f>
        <v>3094</v>
      </c>
      <c r="P28" s="25" t="n">
        <f aca="false">MIN($L28,$O28)</f>
        <v>20</v>
      </c>
      <c r="Q28" s="23" t="s">
        <v>99</v>
      </c>
      <c r="R28" s="23" t="n">
        <v>1</v>
      </c>
      <c r="S28" s="23" t="s">
        <v>100</v>
      </c>
      <c r="T28" s="23" t="n">
        <v>45</v>
      </c>
      <c r="U28" s="23" t="n">
        <v>10</v>
      </c>
      <c r="V28" s="23" t="n">
        <v>20</v>
      </c>
      <c r="W28" s="23" t="n">
        <v>2</v>
      </c>
      <c r="X28" s="23" t="n">
        <v>20</v>
      </c>
      <c r="Y28" s="24" t="n">
        <f aca="false">IF($X28=0,"",ROUND($H28/$X28,2))</f>
        <v>1.5</v>
      </c>
      <c r="Z28" s="24" t="str">
        <f aca="false">IF(AND($F28=0,$T28&gt;=5,$W28&gt;=3),"CENSURADO",IF(AND($Y28&lt;&gt;"",$Y28&gt;=3,$T28&gt;=10),"CENSURADO",IF($T28=0,"SIN DATO","CONFIABLE")))</f>
        <v>CONFIABLE</v>
      </c>
      <c r="AA28" s="24" t="n">
        <f aca="false">IF($I28=0,"",ROUND($J28/MAX($I28,0.01),2))</f>
        <v>1.41</v>
      </c>
      <c r="AB28" s="24" t="n">
        <f aca="false">IF($J28&lt;=0,"",ROUND(($F28+$G28)/$J28,0))</f>
        <v>7</v>
      </c>
      <c r="AC28" s="26" t="n">
        <f aca="false">IF($AB28="","",$J$3+$AB28)</f>
        <v>46252</v>
      </c>
      <c r="AD28" s="23" t="n">
        <v>0</v>
      </c>
      <c r="AE28" s="23" t="n">
        <v>0</v>
      </c>
      <c r="AF28" s="23" t="n">
        <v>0</v>
      </c>
      <c r="AG28" s="24" t="str">
        <f aca="false">IF($AF28=0,"",MAX(0,180-$AE28))</f>
        <v/>
      </c>
      <c r="AH28" s="27" t="n">
        <v>0</v>
      </c>
      <c r="AI28" s="28" t="str">
        <f aca="false">IF($AF28=0,"",$AF28*$Q$3-$AF28*$N$3)</f>
        <v/>
      </c>
      <c r="AJ28" s="23" t="n">
        <v>2.16</v>
      </c>
      <c r="AK28" s="28" t="n">
        <f aca="false">ROUND($F28*$AJ28,0)</f>
        <v>0</v>
      </c>
      <c r="AL28" s="25" t="str">
        <f aca="false">IF(AND($F28=0,$T28&gt;0,$O28=0),"QUIEBRE Y SIN STOCK PARA ENVIAR",IF(AND($F28=0,$T28&gt;0),"QUIEBRE",IF($F28=0,"SIN STOCK SIN DEMANDA",IF(AND($AF28&gt;0,$AG28&lt;&gt;"",OR($AB28="",$AB28&gt;$AG28)),"STOCK VIEJO EN RIESGO",IF(AND($T28=0,$H28=0),"SIN ROTACION",IF($AB28="","-",IF($AB28&lt;14,"REPONER",IF($AB28&gt;84,"SOBRE-STOCK","EN RANGO"))))))))</f>
        <v>QUIEBRE</v>
      </c>
    </row>
    <row r="29" customFormat="false" ht="15" hidden="false" customHeight="false" outlineLevel="0" collapsed="false">
      <c r="A29" s="4" t="s">
        <v>94</v>
      </c>
      <c r="B29" s="23" t="s">
        <v>186</v>
      </c>
      <c r="C29" s="23" t="s">
        <v>187</v>
      </c>
      <c r="D29" s="23" t="s">
        <v>188</v>
      </c>
      <c r="E29" s="23" t="s">
        <v>189</v>
      </c>
      <c r="F29" s="23" t="n">
        <v>0</v>
      </c>
      <c r="G29" s="23" t="n">
        <v>20</v>
      </c>
      <c r="H29" s="23" t="n">
        <v>26</v>
      </c>
      <c r="I29" s="24" t="n">
        <f aca="false">ROUND($H29/30,2)</f>
        <v>0.87</v>
      </c>
      <c r="J29" s="25" t="n">
        <f aca="false">IF($Z29="CENSURADO",ROUND($T29/MAX($V29,3),2),ROUND($T29/$G$3,2))</f>
        <v>1.45</v>
      </c>
      <c r="K29" s="24" t="n">
        <f aca="false">ROUNDUP($J29*$C$3*7,0)</f>
        <v>31</v>
      </c>
      <c r="L29" s="24" t="n">
        <f aca="false">MAX(0,$K29-$F29-$G29)</f>
        <v>11</v>
      </c>
      <c r="M29" s="23" t="n">
        <v>422</v>
      </c>
      <c r="N29" s="23" t="n">
        <v>18</v>
      </c>
      <c r="O29" s="24" t="n">
        <f aca="false">$M29+$N29</f>
        <v>440</v>
      </c>
      <c r="P29" s="25" t="n">
        <f aca="false">MIN($L29,$O29)</f>
        <v>11</v>
      </c>
      <c r="Q29" s="23" t="s">
        <v>99</v>
      </c>
      <c r="R29" s="23" t="n">
        <v>1</v>
      </c>
      <c r="S29" s="23" t="s">
        <v>100</v>
      </c>
      <c r="T29" s="23" t="n">
        <v>42</v>
      </c>
      <c r="U29" s="23" t="n">
        <v>20</v>
      </c>
      <c r="V29" s="23" t="n">
        <v>29</v>
      </c>
      <c r="W29" s="23" t="n">
        <v>1</v>
      </c>
      <c r="X29" s="23" t="n">
        <v>6</v>
      </c>
      <c r="Y29" s="24" t="n">
        <f aca="false">IF($X29=0,"",ROUND($H29/$X29,2))</f>
        <v>4.33</v>
      </c>
      <c r="Z29" s="24" t="str">
        <f aca="false">IF(AND($F29=0,$T29&gt;=5,$W29&gt;=3),"CENSURADO",IF(AND($Y29&lt;&gt;"",$Y29&gt;=3,$T29&gt;=10),"CENSURADO",IF($T29=0,"SIN DATO","CONFIABLE")))</f>
        <v>CENSURADO</v>
      </c>
      <c r="AA29" s="24" t="n">
        <f aca="false">IF($I29=0,"",ROUND($J29/MAX($I29,0.01),2))</f>
        <v>1.67</v>
      </c>
      <c r="AB29" s="24" t="n">
        <f aca="false">IF($J29&lt;=0,"",ROUND(($F29+$G29)/$J29,0))</f>
        <v>14</v>
      </c>
      <c r="AC29" s="26" t="n">
        <f aca="false">IF($AB29="","",$J$3+$AB29)</f>
        <v>46259</v>
      </c>
      <c r="AD29" s="23" t="n">
        <v>0</v>
      </c>
      <c r="AE29" s="23" t="n">
        <v>0</v>
      </c>
      <c r="AF29" s="23" t="n">
        <v>0</v>
      </c>
      <c r="AG29" s="24" t="str">
        <f aca="false">IF($AF29=0,"",MAX(0,180-$AE29))</f>
        <v/>
      </c>
      <c r="AH29" s="27" t="n">
        <v>0</v>
      </c>
      <c r="AI29" s="28" t="str">
        <f aca="false">IF($AF29=0,"",$AF29*$Q$3-$AF29*$N$3)</f>
        <v/>
      </c>
      <c r="AJ29" s="23" t="n">
        <v>6.83</v>
      </c>
      <c r="AK29" s="28" t="n">
        <f aca="false">ROUND($F29*$AJ29,0)</f>
        <v>0</v>
      </c>
      <c r="AL29" s="25" t="str">
        <f aca="false">IF(AND($F29=0,$T29&gt;0,$O29=0),"QUIEBRE Y SIN STOCK PARA ENVIAR",IF(AND($F29=0,$T29&gt;0),"QUIEBRE",IF($F29=0,"SIN STOCK SIN DEMANDA",IF(AND($AF29&gt;0,$AG29&lt;&gt;"",OR($AB29="",$AB29&gt;$AG29)),"STOCK VIEJO EN RIESGO",IF(AND($T29=0,$H29=0),"SIN ROTACION",IF($AB29="","-",IF($AB29&lt;14,"REPONER",IF($AB29&gt;84,"SOBRE-STOCK","EN RANGO"))))))))</f>
        <v>QUIEBRE</v>
      </c>
    </row>
    <row r="30" customFormat="false" ht="15" hidden="false" customHeight="false" outlineLevel="0" collapsed="false">
      <c r="A30" s="4" t="s">
        <v>94</v>
      </c>
      <c r="B30" s="23" t="s">
        <v>190</v>
      </c>
      <c r="C30" s="23" t="s">
        <v>191</v>
      </c>
      <c r="D30" s="23" t="s">
        <v>192</v>
      </c>
      <c r="E30" s="23" t="s">
        <v>193</v>
      </c>
      <c r="F30" s="23" t="n">
        <v>0</v>
      </c>
      <c r="G30" s="23" t="n">
        <v>0</v>
      </c>
      <c r="H30" s="23" t="n">
        <v>0</v>
      </c>
      <c r="I30" s="24" t="n">
        <f aca="false">ROUND($H30/30,2)</f>
        <v>0</v>
      </c>
      <c r="J30" s="25" t="n">
        <f aca="false">IF($Z30="CENSURADO",ROUND($T30/MAX($V30,3),2),ROUND($T30/$G$3,2))</f>
        <v>2.16</v>
      </c>
      <c r="K30" s="24" t="n">
        <f aca="false">ROUNDUP($J30*$C$3*7,0)</f>
        <v>46</v>
      </c>
      <c r="L30" s="24" t="n">
        <f aca="false">MAX(0,$K30-$F30-$G30)</f>
        <v>46</v>
      </c>
      <c r="M30" s="23" t="n">
        <v>15</v>
      </c>
      <c r="N30" s="23" t="n">
        <v>0</v>
      </c>
      <c r="O30" s="24" t="n">
        <f aca="false">$M30+$N30</f>
        <v>15</v>
      </c>
      <c r="P30" s="25" t="n">
        <f aca="false">MIN($L30,$O30)</f>
        <v>15</v>
      </c>
      <c r="Q30" s="23" t="s">
        <v>194</v>
      </c>
      <c r="R30" s="23" t="n">
        <v>1</v>
      </c>
      <c r="S30" s="23" t="s">
        <v>100</v>
      </c>
      <c r="T30" s="23" t="n">
        <v>41</v>
      </c>
      <c r="U30" s="23" t="n">
        <v>11</v>
      </c>
      <c r="V30" s="23" t="n">
        <v>19</v>
      </c>
      <c r="W30" s="23" t="n">
        <v>12</v>
      </c>
      <c r="X30" s="23" t="n">
        <v>0</v>
      </c>
      <c r="Y30" s="24" t="str">
        <f aca="false">IF($X30=0,"",ROUND($H30/$X30,2))</f>
        <v/>
      </c>
      <c r="Z30" s="24" t="str">
        <f aca="false">IF(AND($F30=0,$T30&gt;=5,$W30&gt;=3),"CENSURADO",IF(AND($Y30&lt;&gt;"",$Y30&gt;=3,$T30&gt;=10),"CENSURADO",IF($T30=0,"SIN DATO","CONFIABLE")))</f>
        <v>CENSURADO</v>
      </c>
      <c r="AA30" s="24" t="str">
        <f aca="false">IF($I30=0,"",ROUND($J30/MAX($I30,0.01),2))</f>
        <v/>
      </c>
      <c r="AB30" s="24" t="n">
        <f aca="false">IF($J30&lt;=0,"",ROUND(($F30+$G30)/$J30,0))</f>
        <v>0</v>
      </c>
      <c r="AC30" s="26" t="n">
        <f aca="false">IF($AB30="","",$J$3+$AB30)</f>
        <v>46245</v>
      </c>
      <c r="AD30" s="23" t="n">
        <v>0</v>
      </c>
      <c r="AE30" s="23" t="n">
        <v>0</v>
      </c>
      <c r="AF30" s="23" t="n">
        <v>0</v>
      </c>
      <c r="AG30" s="24" t="str">
        <f aca="false">IF($AF30=0,"",MAX(0,180-$AE30))</f>
        <v/>
      </c>
      <c r="AH30" s="27" t="n">
        <v>0</v>
      </c>
      <c r="AI30" s="28" t="str">
        <f aca="false">IF($AF30=0,"",$AF30*$Q$3-$AF30*$N$3)</f>
        <v/>
      </c>
      <c r="AJ30" s="23" t="n">
        <v>2.37</v>
      </c>
      <c r="AK30" s="28" t="n">
        <f aca="false">ROUND($F30*$AJ30,0)</f>
        <v>0</v>
      </c>
      <c r="AL30" s="25" t="str">
        <f aca="false">IF(AND($F30=0,$T30&gt;0,$O30=0),"QUIEBRE Y SIN STOCK PARA ENVIAR",IF(AND($F30=0,$T30&gt;0),"QUIEBRE",IF($F30=0,"SIN STOCK SIN DEMANDA",IF(AND($AF30&gt;0,$AG30&lt;&gt;"",OR($AB30="",$AB30&gt;$AG30)),"STOCK VIEJO EN RIESGO",IF(AND($T30=0,$H30=0),"SIN ROTACION",IF($AB30="","-",IF($AB30&lt;14,"REPONER",IF($AB30&gt;84,"SOBRE-STOCK","EN RANGO"))))))))</f>
        <v>QUIEBRE</v>
      </c>
    </row>
    <row r="31" customFormat="false" ht="15" hidden="false" customHeight="false" outlineLevel="0" collapsed="false">
      <c r="A31" s="4" t="s">
        <v>94</v>
      </c>
      <c r="B31" s="23" t="s">
        <v>195</v>
      </c>
      <c r="C31" s="23" t="s">
        <v>196</v>
      </c>
      <c r="D31" s="23" t="s">
        <v>197</v>
      </c>
      <c r="E31" s="23" t="s">
        <v>198</v>
      </c>
      <c r="F31" s="23" t="n">
        <v>0</v>
      </c>
      <c r="G31" s="23" t="n">
        <v>0</v>
      </c>
      <c r="H31" s="23" t="n">
        <v>38</v>
      </c>
      <c r="I31" s="24" t="n">
        <f aca="false">ROUND($H31/30,2)</f>
        <v>1.27</v>
      </c>
      <c r="J31" s="25" t="n">
        <f aca="false">IF($Z31="CENSURADO",ROUND($T31/MAX($V31,3),2),ROUND($T31/$G$3,2))</f>
        <v>1.41</v>
      </c>
      <c r="K31" s="24" t="n">
        <f aca="false">ROUNDUP($J31*$C$3*7,0)</f>
        <v>30</v>
      </c>
      <c r="L31" s="24" t="n">
        <f aca="false">MAX(0,$K31-$F31-$G31)</f>
        <v>30</v>
      </c>
      <c r="M31" s="23" t="n">
        <v>1</v>
      </c>
      <c r="N31" s="23" t="n">
        <v>-2</v>
      </c>
      <c r="O31" s="24" t="n">
        <f aca="false">$M31+$N31</f>
        <v>-1</v>
      </c>
      <c r="P31" s="25" t="n">
        <f aca="false">MIN($L31,$O31)</f>
        <v>-1</v>
      </c>
      <c r="Q31" s="23"/>
      <c r="R31" s="23" t="n">
        <v>1</v>
      </c>
      <c r="S31" s="23" t="s">
        <v>100</v>
      </c>
      <c r="T31" s="23" t="n">
        <v>38</v>
      </c>
      <c r="U31" s="23" t="n">
        <v>19</v>
      </c>
      <c r="V31" s="23" t="n">
        <v>27</v>
      </c>
      <c r="W31" s="23" t="n">
        <v>4</v>
      </c>
      <c r="X31" s="23" t="n">
        <v>18</v>
      </c>
      <c r="Y31" s="24" t="n">
        <f aca="false">IF($X31=0,"",ROUND($H31/$X31,2))</f>
        <v>2.11</v>
      </c>
      <c r="Z31" s="24" t="str">
        <f aca="false">IF(AND($F31=0,$T31&gt;=5,$W31&gt;=3),"CENSURADO",IF(AND($Y31&lt;&gt;"",$Y31&gt;=3,$T31&gt;=10),"CENSURADO",IF($T31=0,"SIN DATO","CONFIABLE")))</f>
        <v>CENSURADO</v>
      </c>
      <c r="AA31" s="24" t="n">
        <f aca="false">IF($I31=0,"",ROUND($J31/MAX($I31,0.01),2))</f>
        <v>1.11</v>
      </c>
      <c r="AB31" s="24" t="n">
        <f aca="false">IF($J31&lt;=0,"",ROUND(($F31+$G31)/$J31,0))</f>
        <v>0</v>
      </c>
      <c r="AC31" s="26" t="n">
        <f aca="false">IF($AB31="","",$J$3+$AB31)</f>
        <v>46245</v>
      </c>
      <c r="AD31" s="23" t="n">
        <v>0</v>
      </c>
      <c r="AE31" s="23" t="n">
        <v>0</v>
      </c>
      <c r="AF31" s="23" t="n">
        <v>0</v>
      </c>
      <c r="AG31" s="24" t="str">
        <f aca="false">IF($AF31=0,"",MAX(0,180-$AE31))</f>
        <v/>
      </c>
      <c r="AH31" s="27" t="n">
        <v>0</v>
      </c>
      <c r="AI31" s="28" t="str">
        <f aca="false">IF($AF31=0,"",$AF31*$Q$3-$AF31*$N$3)</f>
        <v/>
      </c>
      <c r="AJ31" s="23" t="n">
        <v>1.67</v>
      </c>
      <c r="AK31" s="28" t="n">
        <f aca="false">ROUND($F31*$AJ31,0)</f>
        <v>0</v>
      </c>
      <c r="AL31" s="25" t="str">
        <f aca="false">IF(AND($F31=0,$T31&gt;0,$O31=0),"QUIEBRE Y SIN STOCK PARA ENVIAR",IF(AND($F31=0,$T31&gt;0),"QUIEBRE",IF($F31=0,"SIN STOCK SIN DEMANDA",IF(AND($AF31&gt;0,$AG31&lt;&gt;"",OR($AB31="",$AB31&gt;$AG31)),"STOCK VIEJO EN RIESGO",IF(AND($T31=0,$H31=0),"SIN ROTACION",IF($AB31="","-",IF($AB31&lt;14,"REPONER",IF($AB31&gt;84,"SOBRE-STOCK","EN RANGO"))))))))</f>
        <v>QUIEBRE</v>
      </c>
    </row>
    <row r="32" customFormat="false" ht="15" hidden="false" customHeight="false" outlineLevel="0" collapsed="false">
      <c r="A32" s="4" t="s">
        <v>94</v>
      </c>
      <c r="B32" s="23" t="s">
        <v>199</v>
      </c>
      <c r="C32" s="23" t="s">
        <v>200</v>
      </c>
      <c r="D32" s="23" t="s">
        <v>201</v>
      </c>
      <c r="E32" s="23" t="s">
        <v>202</v>
      </c>
      <c r="F32" s="23" t="n">
        <v>24</v>
      </c>
      <c r="G32" s="23" t="n">
        <v>0</v>
      </c>
      <c r="H32" s="23" t="n">
        <v>24</v>
      </c>
      <c r="I32" s="24" t="n">
        <f aca="false">ROUND($H32/30,2)</f>
        <v>0.8</v>
      </c>
      <c r="J32" s="25" t="n">
        <f aca="false">IF($Z32="CENSURADO",ROUND($T32/MAX($V32,3),2),ROUND($T32/$G$3,2))</f>
        <v>1.19</v>
      </c>
      <c r="K32" s="24" t="n">
        <f aca="false">ROUNDUP($J32*$C$3*7,0)</f>
        <v>25</v>
      </c>
      <c r="L32" s="24" t="n">
        <f aca="false">MAX(0,$K32-$F32-$G32)</f>
        <v>1</v>
      </c>
      <c r="M32" s="23" t="n">
        <v>4324</v>
      </c>
      <c r="N32" s="23" t="n">
        <v>219</v>
      </c>
      <c r="O32" s="24" t="n">
        <f aca="false">$M32+$N32</f>
        <v>4543</v>
      </c>
      <c r="P32" s="25" t="n">
        <f aca="false">MIN($L32,$O32)</f>
        <v>1</v>
      </c>
      <c r="Q32" s="23" t="s">
        <v>99</v>
      </c>
      <c r="R32" s="23" t="n">
        <v>1</v>
      </c>
      <c r="S32" s="23" t="s">
        <v>133</v>
      </c>
      <c r="T32" s="23" t="n">
        <v>38</v>
      </c>
      <c r="U32" s="23" t="n">
        <v>18</v>
      </c>
      <c r="V32" s="23" t="n">
        <v>29</v>
      </c>
      <c r="W32" s="23" t="n">
        <v>1</v>
      </c>
      <c r="X32" s="23" t="n">
        <v>40</v>
      </c>
      <c r="Y32" s="24" t="n">
        <f aca="false">IF($X32=0,"",ROUND($H32/$X32,2))</f>
        <v>0.6</v>
      </c>
      <c r="Z32" s="24" t="str">
        <f aca="false">IF(AND($F32=0,$T32&gt;=5,$W32&gt;=3),"CENSURADO",IF(AND($Y32&lt;&gt;"",$Y32&gt;=3,$T32&gt;=10),"CENSURADO",IF($T32=0,"SIN DATO","CONFIABLE")))</f>
        <v>CONFIABLE</v>
      </c>
      <c r="AA32" s="24" t="n">
        <f aca="false">IF($I32=0,"",ROUND($J32/MAX($I32,0.01),2))</f>
        <v>1.49</v>
      </c>
      <c r="AB32" s="24" t="n">
        <f aca="false">IF($J32&lt;=0,"",ROUND(($F32+$G32)/$J32,0))</f>
        <v>20</v>
      </c>
      <c r="AC32" s="26" t="n">
        <f aca="false">IF($AB32="","",$J$3+$AB32)</f>
        <v>46265</v>
      </c>
      <c r="AD32" s="23" t="n">
        <v>0</v>
      </c>
      <c r="AE32" s="23" t="n">
        <v>0</v>
      </c>
      <c r="AF32" s="23" t="n">
        <v>0</v>
      </c>
      <c r="AG32" s="24" t="str">
        <f aca="false">IF($AF32=0,"",MAX(0,180-$AE32))</f>
        <v/>
      </c>
      <c r="AH32" s="27" t="n">
        <v>0</v>
      </c>
      <c r="AI32" s="28" t="str">
        <f aca="false">IF($AF32=0,"",$AF32*$Q$3-$AF32*$N$3)</f>
        <v/>
      </c>
      <c r="AJ32" s="23" t="n">
        <v>0.46</v>
      </c>
      <c r="AK32" s="28" t="n">
        <f aca="false">ROUND($F32*$AJ32,0)</f>
        <v>11</v>
      </c>
      <c r="AL32" s="25" t="str">
        <f aca="false">IF(AND($F32=0,$T32&gt;0,$O32=0),"QUIEBRE Y SIN STOCK PARA ENVIAR",IF(AND($F32=0,$T32&gt;0),"QUIEBRE",IF($F32=0,"SIN STOCK SIN DEMANDA",IF(AND($AF32&gt;0,$AG32&lt;&gt;"",OR($AB32="",$AB32&gt;$AG32)),"STOCK VIEJO EN RIESGO",IF(AND($T32=0,$H32=0),"SIN ROTACION",IF($AB32="","-",IF($AB32&lt;14,"REPONER",IF($AB32&gt;84,"SOBRE-STOCK","EN RANGO"))))))))</f>
        <v>EN RANGO</v>
      </c>
    </row>
    <row r="33" customFormat="false" ht="15" hidden="false" customHeight="false" outlineLevel="0" collapsed="false">
      <c r="A33" s="4" t="s">
        <v>94</v>
      </c>
      <c r="B33" s="23" t="s">
        <v>203</v>
      </c>
      <c r="C33" s="23" t="s">
        <v>204</v>
      </c>
      <c r="D33" s="23" t="s">
        <v>205</v>
      </c>
      <c r="E33" s="23" t="s">
        <v>206</v>
      </c>
      <c r="F33" s="23" t="n">
        <v>0</v>
      </c>
      <c r="G33" s="23" t="n">
        <v>0</v>
      </c>
      <c r="H33" s="23" t="n">
        <v>26</v>
      </c>
      <c r="I33" s="24" t="n">
        <f aca="false">ROUND($H33/30,2)</f>
        <v>0.87</v>
      </c>
      <c r="J33" s="25" t="n">
        <f aca="false">IF($Z33="CENSURADO",ROUND($T33/MAX($V33,3),2),ROUND($T33/$G$3,2))</f>
        <v>1.38</v>
      </c>
      <c r="K33" s="24" t="n">
        <f aca="false">ROUNDUP($J33*$C$3*7,0)</f>
        <v>29</v>
      </c>
      <c r="L33" s="24" t="n">
        <f aca="false">MAX(0,$K33-$F33-$G33)</f>
        <v>29</v>
      </c>
      <c r="M33" s="23" t="n">
        <v>540</v>
      </c>
      <c r="N33" s="23" t="n">
        <v>78</v>
      </c>
      <c r="O33" s="24" t="n">
        <f aca="false">$M33+$N33</f>
        <v>618</v>
      </c>
      <c r="P33" s="25" t="n">
        <f aca="false">MIN($L33,$O33)</f>
        <v>29</v>
      </c>
      <c r="Q33" s="23" t="s">
        <v>99</v>
      </c>
      <c r="R33" s="23" t="n">
        <v>1</v>
      </c>
      <c r="S33" s="23" t="s">
        <v>133</v>
      </c>
      <c r="T33" s="23" t="n">
        <v>36</v>
      </c>
      <c r="U33" s="23" t="n">
        <v>14</v>
      </c>
      <c r="V33" s="23" t="n">
        <v>26</v>
      </c>
      <c r="W33" s="23" t="n">
        <v>5</v>
      </c>
      <c r="X33" s="23" t="n">
        <v>8</v>
      </c>
      <c r="Y33" s="24" t="n">
        <f aca="false">IF($X33=0,"",ROUND($H33/$X33,2))</f>
        <v>3.25</v>
      </c>
      <c r="Z33" s="24" t="str">
        <f aca="false">IF(AND($F33=0,$T33&gt;=5,$W33&gt;=3),"CENSURADO",IF(AND($Y33&lt;&gt;"",$Y33&gt;=3,$T33&gt;=10),"CENSURADO",IF($T33=0,"SIN DATO","CONFIABLE")))</f>
        <v>CENSURADO</v>
      </c>
      <c r="AA33" s="24" t="n">
        <f aca="false">IF($I33=0,"",ROUND($J33/MAX($I33,0.01),2))</f>
        <v>1.59</v>
      </c>
      <c r="AB33" s="24" t="n">
        <f aca="false">IF($J33&lt;=0,"",ROUND(($F33+$G33)/$J33,0))</f>
        <v>0</v>
      </c>
      <c r="AC33" s="26" t="n">
        <f aca="false">IF($AB33="","",$J$3+$AB33)</f>
        <v>46245</v>
      </c>
      <c r="AD33" s="23" t="n">
        <v>0</v>
      </c>
      <c r="AE33" s="23" t="n">
        <v>0</v>
      </c>
      <c r="AF33" s="23" t="n">
        <v>0</v>
      </c>
      <c r="AG33" s="24" t="str">
        <f aca="false">IF($AF33=0,"",MAX(0,180-$AE33))</f>
        <v/>
      </c>
      <c r="AH33" s="27" t="n">
        <v>0</v>
      </c>
      <c r="AI33" s="28" t="str">
        <f aca="false">IF($AF33=0,"",$AF33*$Q$3-$AF33*$N$3)</f>
        <v/>
      </c>
      <c r="AJ33" s="23" t="n">
        <v>0</v>
      </c>
      <c r="AK33" s="28" t="n">
        <f aca="false">ROUND($F33*$AJ33,0)</f>
        <v>0</v>
      </c>
      <c r="AL33" s="25" t="str">
        <f aca="false">IF(AND($F33=0,$T33&gt;0,$O33=0),"QUIEBRE Y SIN STOCK PARA ENVIAR",IF(AND($F33=0,$T33&gt;0),"QUIEBRE",IF($F33=0,"SIN STOCK SIN DEMANDA",IF(AND($AF33&gt;0,$AG33&lt;&gt;"",OR($AB33="",$AB33&gt;$AG33)),"STOCK VIEJO EN RIESGO",IF(AND($T33=0,$H33=0),"SIN ROTACION",IF($AB33="","-",IF($AB33&lt;14,"REPONER",IF($AB33&gt;84,"SOBRE-STOCK","EN RANGO"))))))))</f>
        <v>QUIEBRE</v>
      </c>
    </row>
    <row r="34" customFormat="false" ht="15" hidden="false" customHeight="false" outlineLevel="0" collapsed="false">
      <c r="A34" s="4" t="s">
        <v>94</v>
      </c>
      <c r="B34" s="23" t="s">
        <v>207</v>
      </c>
      <c r="C34" s="23" t="s">
        <v>208</v>
      </c>
      <c r="D34" s="23" t="s">
        <v>209</v>
      </c>
      <c r="E34" s="23" t="s">
        <v>210</v>
      </c>
      <c r="F34" s="23" t="n">
        <v>0</v>
      </c>
      <c r="G34" s="23" t="n">
        <v>0</v>
      </c>
      <c r="H34" s="23" t="n">
        <v>20</v>
      </c>
      <c r="I34" s="24" t="n">
        <f aca="false">ROUND($H34/30,2)</f>
        <v>0.67</v>
      </c>
      <c r="J34" s="25" t="n">
        <f aca="false">IF($Z34="CENSURADO",ROUND($T34/MAX($V34,3),2),ROUND($T34/$G$3,2))</f>
        <v>1.09</v>
      </c>
      <c r="K34" s="24" t="n">
        <f aca="false">ROUNDUP($J34*$C$3*7,0)</f>
        <v>23</v>
      </c>
      <c r="L34" s="24" t="n">
        <f aca="false">MAX(0,$K34-$F34-$G34)</f>
        <v>23</v>
      </c>
      <c r="M34" s="23" t="n">
        <v>2756</v>
      </c>
      <c r="N34" s="23" t="n">
        <v>132</v>
      </c>
      <c r="O34" s="24" t="n">
        <f aca="false">$M34+$N34</f>
        <v>2888</v>
      </c>
      <c r="P34" s="25" t="n">
        <f aca="false">MIN($L34,$O34)</f>
        <v>23</v>
      </c>
      <c r="Q34" s="23" t="s">
        <v>99</v>
      </c>
      <c r="R34" s="23" t="n">
        <v>2</v>
      </c>
      <c r="S34" s="23" t="s">
        <v>211</v>
      </c>
      <c r="T34" s="23" t="n">
        <v>35</v>
      </c>
      <c r="U34" s="23" t="n">
        <v>14</v>
      </c>
      <c r="V34" s="23" t="n">
        <v>27</v>
      </c>
      <c r="W34" s="23" t="n">
        <v>2</v>
      </c>
      <c r="X34" s="23" t="n">
        <v>13</v>
      </c>
      <c r="Y34" s="24" t="n">
        <f aca="false">IF($X34=0,"",ROUND($H34/$X34,2))</f>
        <v>1.54</v>
      </c>
      <c r="Z34" s="24" t="str">
        <f aca="false">IF(AND($F34=0,$T34&gt;=5,$W34&gt;=3),"CENSURADO",IF(AND($Y34&lt;&gt;"",$Y34&gt;=3,$T34&gt;=10),"CENSURADO",IF($T34=0,"SIN DATO","CONFIABLE")))</f>
        <v>CONFIABLE</v>
      </c>
      <c r="AA34" s="24" t="n">
        <f aca="false">IF($I34=0,"",ROUND($J34/MAX($I34,0.01),2))</f>
        <v>1.63</v>
      </c>
      <c r="AB34" s="24" t="n">
        <f aca="false">IF($J34&lt;=0,"",ROUND(($F34+$G34)/$J34,0))</f>
        <v>0</v>
      </c>
      <c r="AC34" s="26" t="n">
        <f aca="false">IF($AB34="","",$J$3+$AB34)</f>
        <v>46245</v>
      </c>
      <c r="AD34" s="23" t="n">
        <v>0</v>
      </c>
      <c r="AE34" s="23" t="n">
        <v>0</v>
      </c>
      <c r="AF34" s="23" t="n">
        <v>0</v>
      </c>
      <c r="AG34" s="24" t="str">
        <f aca="false">IF($AF34=0,"",MAX(0,180-$AE34))</f>
        <v/>
      </c>
      <c r="AH34" s="27" t="n">
        <v>0</v>
      </c>
      <c r="AI34" s="28" t="str">
        <f aca="false">IF($AF34=0,"",$AF34*$Q$3-$AF34*$N$3)</f>
        <v/>
      </c>
      <c r="AJ34" s="23" t="n">
        <v>5.52</v>
      </c>
      <c r="AK34" s="28" t="n">
        <f aca="false">ROUND($F34*$AJ34,0)</f>
        <v>0</v>
      </c>
      <c r="AL34" s="25" t="str">
        <f aca="false">IF(AND($F34=0,$T34&gt;0,$O34=0),"QUIEBRE Y SIN STOCK PARA ENVIAR",IF(AND($F34=0,$T34&gt;0),"QUIEBRE",IF($F34=0,"SIN STOCK SIN DEMANDA",IF(AND($AF34&gt;0,$AG34&lt;&gt;"",OR($AB34="",$AB34&gt;$AG34)),"STOCK VIEJO EN RIESGO",IF(AND($T34=0,$H34=0),"SIN ROTACION",IF($AB34="","-",IF($AB34&lt;14,"REPONER",IF($AB34&gt;84,"SOBRE-STOCK","EN RANGO"))))))))</f>
        <v>QUIEBRE</v>
      </c>
    </row>
    <row r="35" customFormat="false" ht="15" hidden="false" customHeight="false" outlineLevel="0" collapsed="false">
      <c r="A35" s="4" t="s">
        <v>94</v>
      </c>
      <c r="B35" s="23" t="s">
        <v>212</v>
      </c>
      <c r="C35" s="23" t="s">
        <v>213</v>
      </c>
      <c r="D35" s="23" t="s">
        <v>214</v>
      </c>
      <c r="E35" s="23" t="s">
        <v>215</v>
      </c>
      <c r="F35" s="23" t="n">
        <v>28</v>
      </c>
      <c r="G35" s="23" t="n">
        <v>15</v>
      </c>
      <c r="H35" s="23" t="n">
        <v>26</v>
      </c>
      <c r="I35" s="24" t="n">
        <f aca="false">ROUND($H35/30,2)</f>
        <v>0.87</v>
      </c>
      <c r="J35" s="25" t="n">
        <f aca="false">IF($Z35="CENSURADO",ROUND($T35/MAX($V35,3),2),ROUND($T35/$G$3,2))</f>
        <v>1</v>
      </c>
      <c r="K35" s="24" t="n">
        <f aca="false">ROUNDUP($J35*$C$3*7,0)</f>
        <v>21</v>
      </c>
      <c r="L35" s="24" t="n">
        <f aca="false">MAX(0,$K35-$F35-$G35)</f>
        <v>0</v>
      </c>
      <c r="M35" s="23" t="n">
        <v>6091</v>
      </c>
      <c r="N35" s="23" t="n">
        <v>1209</v>
      </c>
      <c r="O35" s="24" t="n">
        <f aca="false">$M35+$N35</f>
        <v>7300</v>
      </c>
      <c r="P35" s="25" t="n">
        <f aca="false">MIN($L35,$O35)</f>
        <v>0</v>
      </c>
      <c r="Q35" s="23" t="s">
        <v>99</v>
      </c>
      <c r="R35" s="23" t="n">
        <v>1</v>
      </c>
      <c r="S35" s="23" t="s">
        <v>100</v>
      </c>
      <c r="T35" s="23" t="n">
        <v>32</v>
      </c>
      <c r="U35" s="23" t="n">
        <v>16</v>
      </c>
      <c r="V35" s="23" t="n">
        <v>29</v>
      </c>
      <c r="W35" s="23" t="n">
        <v>1</v>
      </c>
      <c r="X35" s="23" t="n">
        <v>41</v>
      </c>
      <c r="Y35" s="24" t="n">
        <f aca="false">IF($X35=0,"",ROUND($H35/$X35,2))</f>
        <v>0.63</v>
      </c>
      <c r="Z35" s="24" t="str">
        <f aca="false">IF(AND($F35=0,$T35&gt;=5,$W35&gt;=3),"CENSURADO",IF(AND($Y35&lt;&gt;"",$Y35&gt;=3,$T35&gt;=10),"CENSURADO",IF($T35=0,"SIN DATO","CONFIABLE")))</f>
        <v>CONFIABLE</v>
      </c>
      <c r="AA35" s="24" t="n">
        <f aca="false">IF($I35=0,"",ROUND($J35/MAX($I35,0.01),2))</f>
        <v>1.15</v>
      </c>
      <c r="AB35" s="24" t="n">
        <f aca="false">IF($J35&lt;=0,"",ROUND(($F35+$G35)/$J35,0))</f>
        <v>43</v>
      </c>
      <c r="AC35" s="26" t="n">
        <f aca="false">IF($AB35="","",$J$3+$AB35)</f>
        <v>46288</v>
      </c>
      <c r="AD35" s="23" t="n">
        <v>0</v>
      </c>
      <c r="AE35" s="23" t="n">
        <v>0</v>
      </c>
      <c r="AF35" s="23" t="n">
        <v>0</v>
      </c>
      <c r="AG35" s="24" t="str">
        <f aca="false">IF($AF35=0,"",MAX(0,180-$AE35))</f>
        <v/>
      </c>
      <c r="AH35" s="27" t="n">
        <v>0</v>
      </c>
      <c r="AI35" s="28" t="str">
        <f aca="false">IF($AF35=0,"",$AF35*$Q$3-$AF35*$N$3)</f>
        <v/>
      </c>
      <c r="AJ35" s="23" t="n">
        <v>4.48</v>
      </c>
      <c r="AK35" s="28" t="n">
        <f aca="false">ROUND($F35*$AJ35,0)</f>
        <v>125</v>
      </c>
      <c r="AL35" s="25" t="str">
        <f aca="false">IF(AND($F35=0,$T35&gt;0,$O35=0),"QUIEBRE Y SIN STOCK PARA ENVIAR",IF(AND($F35=0,$T35&gt;0),"QUIEBRE",IF($F35=0,"SIN STOCK SIN DEMANDA",IF(AND($AF35&gt;0,$AG35&lt;&gt;"",OR($AB35="",$AB35&gt;$AG35)),"STOCK VIEJO EN RIESGO",IF(AND($T35=0,$H35=0),"SIN ROTACION",IF($AB35="","-",IF($AB35&lt;14,"REPONER",IF($AB35&gt;84,"SOBRE-STOCK","EN RANGO"))))))))</f>
        <v>EN RANGO</v>
      </c>
    </row>
    <row r="36" customFormat="false" ht="15" hidden="false" customHeight="false" outlineLevel="0" collapsed="false">
      <c r="A36" s="4" t="s">
        <v>94</v>
      </c>
      <c r="B36" s="23" t="s">
        <v>216</v>
      </c>
      <c r="C36" s="23" t="s">
        <v>217</v>
      </c>
      <c r="D36" s="23" t="s">
        <v>218</v>
      </c>
      <c r="E36" s="23" t="s">
        <v>219</v>
      </c>
      <c r="F36" s="23" t="n">
        <v>0</v>
      </c>
      <c r="G36" s="23" t="n">
        <v>0</v>
      </c>
      <c r="H36" s="23" t="n">
        <v>5</v>
      </c>
      <c r="I36" s="24" t="n">
        <f aca="false">ROUND($H36/30,2)</f>
        <v>0.17</v>
      </c>
      <c r="J36" s="25" t="n">
        <f aca="false">IF($Z36="CENSURADO",ROUND($T36/MAX($V36,3),2),ROUND($T36/$G$3,2))</f>
        <v>2.13</v>
      </c>
      <c r="K36" s="24" t="n">
        <f aca="false">ROUNDUP($J36*$C$3*7,0)</f>
        <v>45</v>
      </c>
      <c r="L36" s="24" t="n">
        <f aca="false">MAX(0,$K36-$F36-$G36)</f>
        <v>45</v>
      </c>
      <c r="M36" s="23" t="n">
        <v>3089</v>
      </c>
      <c r="N36" s="23" t="n">
        <v>74</v>
      </c>
      <c r="O36" s="24" t="n">
        <f aca="false">$M36+$N36</f>
        <v>3163</v>
      </c>
      <c r="P36" s="25" t="n">
        <f aca="false">MIN($L36,$O36)</f>
        <v>45</v>
      </c>
      <c r="Q36" s="23" t="s">
        <v>99</v>
      </c>
      <c r="R36" s="23" t="n">
        <v>1</v>
      </c>
      <c r="S36" s="23" t="s">
        <v>133</v>
      </c>
      <c r="T36" s="23" t="n">
        <v>32</v>
      </c>
      <c r="U36" s="23" t="n">
        <v>3</v>
      </c>
      <c r="V36" s="23" t="n">
        <v>15</v>
      </c>
      <c r="W36" s="23" t="n">
        <v>11</v>
      </c>
      <c r="X36" s="23" t="n">
        <v>2</v>
      </c>
      <c r="Y36" s="24" t="n">
        <f aca="false">IF($X36=0,"",ROUND($H36/$X36,2))</f>
        <v>2.5</v>
      </c>
      <c r="Z36" s="24" t="str">
        <f aca="false">IF(AND($F36=0,$T36&gt;=5,$W36&gt;=3),"CENSURADO",IF(AND($Y36&lt;&gt;"",$Y36&gt;=3,$T36&gt;=10),"CENSURADO",IF($T36=0,"SIN DATO","CONFIABLE")))</f>
        <v>CENSURADO</v>
      </c>
      <c r="AA36" s="24" t="n">
        <f aca="false">IF($I36=0,"",ROUND($J36/MAX($I36,0.01),2))</f>
        <v>12.53</v>
      </c>
      <c r="AB36" s="24" t="n">
        <f aca="false">IF($J36&lt;=0,"",ROUND(($F36+$G36)/$J36,0))</f>
        <v>0</v>
      </c>
      <c r="AC36" s="26" t="n">
        <f aca="false">IF($AB36="","",$J$3+$AB36)</f>
        <v>46245</v>
      </c>
      <c r="AD36" s="23" t="n">
        <v>0</v>
      </c>
      <c r="AE36" s="23" t="n">
        <v>163</v>
      </c>
      <c r="AF36" s="23" t="n">
        <v>6</v>
      </c>
      <c r="AG36" s="24" t="n">
        <f aca="false">IF($AF36=0,"",MAX(0,180-$AE36))</f>
        <v>17</v>
      </c>
      <c r="AH36" s="27" t="n">
        <v>2100</v>
      </c>
      <c r="AI36" s="28" t="n">
        <f aca="false">IF($AF36=0,"",$AF36*$Q$3-$AF36*$N$3)</f>
        <v>24090</v>
      </c>
      <c r="AJ36" s="23" t="n">
        <v>0.47</v>
      </c>
      <c r="AK36" s="28" t="n">
        <f aca="false">ROUND($F36*$AJ36,0)</f>
        <v>0</v>
      </c>
      <c r="AL36" s="25" t="str">
        <f aca="false">IF(AND($F36=0,$T36&gt;0,$O36=0),"QUIEBRE Y SIN STOCK PARA ENVIAR",IF(AND($F36=0,$T36&gt;0),"QUIEBRE",IF($F36=0,"SIN STOCK SIN DEMANDA",IF(AND($AF36&gt;0,$AG36&lt;&gt;"",OR($AB36="",$AB36&gt;$AG36)),"STOCK VIEJO EN RIESGO",IF(AND($T36=0,$H36=0),"SIN ROTACION",IF($AB36="","-",IF($AB36&lt;14,"REPONER",IF($AB36&gt;84,"SOBRE-STOCK","EN RANGO"))))))))</f>
        <v>QUIEBRE</v>
      </c>
    </row>
    <row r="37" customFormat="false" ht="15" hidden="false" customHeight="false" outlineLevel="0" collapsed="false">
      <c r="A37" s="4" t="s">
        <v>94</v>
      </c>
      <c r="B37" s="23" t="s">
        <v>220</v>
      </c>
      <c r="C37" s="23" t="s">
        <v>221</v>
      </c>
      <c r="D37" s="23" t="s">
        <v>222</v>
      </c>
      <c r="E37" s="23" t="s">
        <v>223</v>
      </c>
      <c r="F37" s="23" t="n">
        <v>0</v>
      </c>
      <c r="G37" s="23" t="n">
        <v>0</v>
      </c>
      <c r="H37" s="23" t="n">
        <v>11</v>
      </c>
      <c r="I37" s="24" t="n">
        <f aca="false">ROUND($H37/30,2)</f>
        <v>0.37</v>
      </c>
      <c r="J37" s="25" t="n">
        <f aca="false">IF($Z37="CENSURADO",ROUND($T37/MAX($V37,3),2),ROUND($T37/$G$3,2))</f>
        <v>1.2</v>
      </c>
      <c r="K37" s="24" t="n">
        <f aca="false">ROUNDUP($J37*$C$3*7,0)</f>
        <v>26</v>
      </c>
      <c r="L37" s="24" t="n">
        <f aca="false">MAX(0,$K37-$F37-$G37)</f>
        <v>26</v>
      </c>
      <c r="M37" s="23" t="n">
        <v>29</v>
      </c>
      <c r="N37" s="23" t="n">
        <v>36</v>
      </c>
      <c r="O37" s="24" t="n">
        <f aca="false">$M37+$N37</f>
        <v>65</v>
      </c>
      <c r="P37" s="25" t="n">
        <f aca="false">MIN($L37,$O37)</f>
        <v>26</v>
      </c>
      <c r="Q37" s="23" t="s">
        <v>99</v>
      </c>
      <c r="R37" s="23" t="n">
        <v>1</v>
      </c>
      <c r="S37" s="23" t="s">
        <v>133</v>
      </c>
      <c r="T37" s="23" t="n">
        <v>30</v>
      </c>
      <c r="U37" s="23" t="n">
        <v>18</v>
      </c>
      <c r="V37" s="23" t="n">
        <v>25</v>
      </c>
      <c r="W37" s="23" t="n">
        <v>7</v>
      </c>
      <c r="X37" s="23" t="n">
        <v>1</v>
      </c>
      <c r="Y37" s="24" t="n">
        <f aca="false">IF($X37=0,"",ROUND($H37/$X37,2))</f>
        <v>11</v>
      </c>
      <c r="Z37" s="24" t="str">
        <f aca="false">IF(AND($F37=0,$T37&gt;=5,$W37&gt;=3),"CENSURADO",IF(AND($Y37&lt;&gt;"",$Y37&gt;=3,$T37&gt;=10),"CENSURADO",IF($T37=0,"SIN DATO","CONFIABLE")))</f>
        <v>CENSURADO</v>
      </c>
      <c r="AA37" s="24" t="n">
        <f aca="false">IF($I37=0,"",ROUND($J37/MAX($I37,0.01),2))</f>
        <v>3.24</v>
      </c>
      <c r="AB37" s="24" t="n">
        <f aca="false">IF($J37&lt;=0,"",ROUND(($F37+$G37)/$J37,0))</f>
        <v>0</v>
      </c>
      <c r="AC37" s="26" t="n">
        <f aca="false">IF($AB37="","",$J$3+$AB37)</f>
        <v>46245</v>
      </c>
      <c r="AD37" s="23" t="n">
        <v>0</v>
      </c>
      <c r="AE37" s="23" t="n">
        <v>0</v>
      </c>
      <c r="AF37" s="23" t="n">
        <v>0</v>
      </c>
      <c r="AG37" s="24" t="str">
        <f aca="false">IF($AF37=0,"",MAX(0,180-$AE37))</f>
        <v/>
      </c>
      <c r="AH37" s="27" t="n">
        <v>0</v>
      </c>
      <c r="AI37" s="28" t="str">
        <f aca="false">IF($AF37=0,"",$AF37*$Q$3-$AF37*$N$3)</f>
        <v/>
      </c>
      <c r="AJ37" s="23" t="n">
        <v>0</v>
      </c>
      <c r="AK37" s="28" t="n">
        <f aca="false">ROUND($F37*$AJ37,0)</f>
        <v>0</v>
      </c>
      <c r="AL37" s="25" t="str">
        <f aca="false">IF(AND($F37=0,$T37&gt;0,$O37=0),"QUIEBRE Y SIN STOCK PARA ENVIAR",IF(AND($F37=0,$T37&gt;0),"QUIEBRE",IF($F37=0,"SIN STOCK SIN DEMANDA",IF(AND($AF37&gt;0,$AG37&lt;&gt;"",OR($AB37="",$AB37&gt;$AG37)),"STOCK VIEJO EN RIESGO",IF(AND($T37=0,$H37=0),"SIN ROTACION",IF($AB37="","-",IF($AB37&lt;14,"REPONER",IF($AB37&gt;84,"SOBRE-STOCK","EN RANGO"))))))))</f>
        <v>QUIEBRE</v>
      </c>
    </row>
    <row r="38" customFormat="false" ht="15" hidden="false" customHeight="false" outlineLevel="0" collapsed="false">
      <c r="A38" s="4" t="s">
        <v>94</v>
      </c>
      <c r="B38" s="23" t="s">
        <v>224</v>
      </c>
      <c r="C38" s="23" t="s">
        <v>225</v>
      </c>
      <c r="D38" s="23" t="s">
        <v>226</v>
      </c>
      <c r="E38" s="23" t="s">
        <v>227</v>
      </c>
      <c r="F38" s="23" t="n">
        <v>0</v>
      </c>
      <c r="G38" s="23" t="n">
        <v>0</v>
      </c>
      <c r="H38" s="23" t="n">
        <v>25</v>
      </c>
      <c r="I38" s="24" t="n">
        <f aca="false">ROUND($H38/30,2)</f>
        <v>0.83</v>
      </c>
      <c r="J38" s="25" t="n">
        <f aca="false">IF($Z38="CENSURADO",ROUND($T38/MAX($V38,3),2),ROUND($T38/$G$3,2))</f>
        <v>1.2</v>
      </c>
      <c r="K38" s="24" t="n">
        <f aca="false">ROUNDUP($J38*$C$3*7,0)</f>
        <v>26</v>
      </c>
      <c r="L38" s="24" t="n">
        <f aca="false">MAX(0,$K38-$F38-$G38)</f>
        <v>26</v>
      </c>
      <c r="M38" s="23" t="n">
        <v>910</v>
      </c>
      <c r="N38" s="23" t="n">
        <v>2134</v>
      </c>
      <c r="O38" s="24" t="n">
        <f aca="false">$M38+$N38</f>
        <v>3044</v>
      </c>
      <c r="P38" s="25" t="n">
        <f aca="false">MIN($L38,$O38)</f>
        <v>26</v>
      </c>
      <c r="Q38" s="23" t="s">
        <v>99</v>
      </c>
      <c r="R38" s="23" t="n">
        <v>2</v>
      </c>
      <c r="S38" s="23" t="s">
        <v>100</v>
      </c>
      <c r="T38" s="23" t="n">
        <v>30</v>
      </c>
      <c r="U38" s="23" t="n">
        <v>16</v>
      </c>
      <c r="V38" s="23" t="n">
        <v>25</v>
      </c>
      <c r="W38" s="23" t="n">
        <v>6</v>
      </c>
      <c r="X38" s="23" t="n">
        <v>9</v>
      </c>
      <c r="Y38" s="24" t="n">
        <f aca="false">IF($X38=0,"",ROUND($H38/$X38,2))</f>
        <v>2.78</v>
      </c>
      <c r="Z38" s="24" t="str">
        <f aca="false">IF(AND($F38=0,$T38&gt;=5,$W38&gt;=3),"CENSURADO",IF(AND($Y38&lt;&gt;"",$Y38&gt;=3,$T38&gt;=10),"CENSURADO",IF($T38=0,"SIN DATO","CONFIABLE")))</f>
        <v>CENSURADO</v>
      </c>
      <c r="AA38" s="24" t="n">
        <f aca="false">IF($I38=0,"",ROUND($J38/MAX($I38,0.01),2))</f>
        <v>1.45</v>
      </c>
      <c r="AB38" s="24" t="n">
        <f aca="false">IF($J38&lt;=0,"",ROUND(($F38+$G38)/$J38,0))</f>
        <v>0</v>
      </c>
      <c r="AC38" s="26" t="n">
        <f aca="false">IF($AB38="","",$J$3+$AB38)</f>
        <v>46245</v>
      </c>
      <c r="AD38" s="23" t="n">
        <v>0</v>
      </c>
      <c r="AE38" s="23" t="n">
        <v>0</v>
      </c>
      <c r="AF38" s="23" t="n">
        <v>0</v>
      </c>
      <c r="AG38" s="24" t="str">
        <f aca="false">IF($AF38=0,"",MAX(0,180-$AE38))</f>
        <v/>
      </c>
      <c r="AH38" s="27" t="n">
        <v>0</v>
      </c>
      <c r="AI38" s="28" t="str">
        <f aca="false">IF($AF38=0,"",$AF38*$Q$3-$AF38*$N$3)</f>
        <v/>
      </c>
      <c r="AJ38" s="23" t="n">
        <v>0</v>
      </c>
      <c r="AK38" s="28" t="n">
        <f aca="false">ROUND($F38*$AJ38,0)</f>
        <v>0</v>
      </c>
      <c r="AL38" s="25" t="str">
        <f aca="false">IF(AND($F38=0,$T38&gt;0,$O38=0),"QUIEBRE Y SIN STOCK PARA ENVIAR",IF(AND($F38=0,$T38&gt;0),"QUIEBRE",IF($F38=0,"SIN STOCK SIN DEMANDA",IF(AND($AF38&gt;0,$AG38&lt;&gt;"",OR($AB38="",$AB38&gt;$AG38)),"STOCK VIEJO EN RIESGO",IF(AND($T38=0,$H38=0),"SIN ROTACION",IF($AB38="","-",IF($AB38&lt;14,"REPONER",IF($AB38&gt;84,"SOBRE-STOCK","EN RANGO"))))))))</f>
        <v>QUIEBRE</v>
      </c>
    </row>
    <row r="39" customFormat="false" ht="15" hidden="false" customHeight="false" outlineLevel="0" collapsed="false">
      <c r="A39" s="4" t="s">
        <v>94</v>
      </c>
      <c r="B39" s="23" t="s">
        <v>228</v>
      </c>
      <c r="C39" s="23" t="s">
        <v>229</v>
      </c>
      <c r="D39" s="23" t="s">
        <v>230</v>
      </c>
      <c r="E39" s="23" t="s">
        <v>231</v>
      </c>
      <c r="F39" s="23" t="n">
        <v>12</v>
      </c>
      <c r="G39" s="23" t="n">
        <v>0</v>
      </c>
      <c r="H39" s="23" t="n">
        <v>22</v>
      </c>
      <c r="I39" s="24" t="n">
        <f aca="false">ROUND($H39/30,2)</f>
        <v>0.73</v>
      </c>
      <c r="J39" s="25" t="n">
        <f aca="false">IF($Z39="CENSURADO",ROUND($T39/MAX($V39,3),2),ROUND($T39/$G$3,2))</f>
        <v>0.91</v>
      </c>
      <c r="K39" s="24" t="n">
        <f aca="false">ROUNDUP($J39*$C$3*7,0)</f>
        <v>20</v>
      </c>
      <c r="L39" s="24" t="n">
        <f aca="false">MAX(0,$K39-$F39-$G39)</f>
        <v>8</v>
      </c>
      <c r="M39" s="23" t="n">
        <v>18</v>
      </c>
      <c r="N39" s="23" t="n">
        <v>0</v>
      </c>
      <c r="O39" s="24" t="n">
        <f aca="false">$M39+$N39</f>
        <v>18</v>
      </c>
      <c r="P39" s="25" t="n">
        <f aca="false">MIN($L39,$O39)</f>
        <v>8</v>
      </c>
      <c r="Q39" s="23" t="s">
        <v>99</v>
      </c>
      <c r="R39" s="23" t="n">
        <v>1</v>
      </c>
      <c r="S39" s="23" t="s">
        <v>100</v>
      </c>
      <c r="T39" s="23" t="n">
        <v>29</v>
      </c>
      <c r="U39" s="23" t="n">
        <v>20</v>
      </c>
      <c r="V39" s="23" t="n">
        <v>29</v>
      </c>
      <c r="W39" s="23" t="n">
        <v>1</v>
      </c>
      <c r="X39" s="23" t="n">
        <v>25</v>
      </c>
      <c r="Y39" s="24" t="n">
        <f aca="false">IF($X39=0,"",ROUND($H39/$X39,2))</f>
        <v>0.88</v>
      </c>
      <c r="Z39" s="24" t="str">
        <f aca="false">IF(AND($F39=0,$T39&gt;=5,$W39&gt;=3),"CENSURADO",IF(AND($Y39&lt;&gt;"",$Y39&gt;=3,$T39&gt;=10),"CENSURADO",IF($T39=0,"SIN DATO","CONFIABLE")))</f>
        <v>CONFIABLE</v>
      </c>
      <c r="AA39" s="24" t="n">
        <f aca="false">IF($I39=0,"",ROUND($J39/MAX($I39,0.01),2))</f>
        <v>1.25</v>
      </c>
      <c r="AB39" s="24" t="n">
        <f aca="false">IF($J39&lt;=0,"",ROUND(($F39+$G39)/$J39,0))</f>
        <v>13</v>
      </c>
      <c r="AC39" s="26" t="n">
        <f aca="false">IF($AB39="","",$J$3+$AB39)</f>
        <v>46258</v>
      </c>
      <c r="AD39" s="23" t="n">
        <v>0</v>
      </c>
      <c r="AE39" s="23" t="n">
        <v>0</v>
      </c>
      <c r="AF39" s="23" t="n">
        <v>0</v>
      </c>
      <c r="AG39" s="24" t="str">
        <f aca="false">IF($AF39=0,"",MAX(0,180-$AE39))</f>
        <v/>
      </c>
      <c r="AH39" s="27" t="n">
        <v>0</v>
      </c>
      <c r="AI39" s="28" t="str">
        <f aca="false">IF($AF39=0,"",$AF39*$Q$3-$AF39*$N$3)</f>
        <v/>
      </c>
      <c r="AJ39" s="23" t="n">
        <v>3.82</v>
      </c>
      <c r="AK39" s="28" t="n">
        <f aca="false">ROUND($F39*$AJ39,0)</f>
        <v>46</v>
      </c>
      <c r="AL39" s="25" t="str">
        <f aca="false">IF(AND($F39=0,$T39&gt;0,$O39=0),"QUIEBRE Y SIN STOCK PARA ENVIAR",IF(AND($F39=0,$T39&gt;0),"QUIEBRE",IF($F39=0,"SIN STOCK SIN DEMANDA",IF(AND($AF39&gt;0,$AG39&lt;&gt;"",OR($AB39="",$AB39&gt;$AG39)),"STOCK VIEJO EN RIESGO",IF(AND($T39=0,$H39=0),"SIN ROTACION",IF($AB39="","-",IF($AB39&lt;14,"REPONER",IF($AB39&gt;84,"SOBRE-STOCK","EN RANGO"))))))))</f>
        <v>REPONER</v>
      </c>
    </row>
    <row r="40" customFormat="false" ht="15" hidden="false" customHeight="false" outlineLevel="0" collapsed="false">
      <c r="A40" s="4" t="s">
        <v>94</v>
      </c>
      <c r="B40" s="23" t="s">
        <v>232</v>
      </c>
      <c r="C40" s="23" t="s">
        <v>233</v>
      </c>
      <c r="D40" s="23" t="s">
        <v>234</v>
      </c>
      <c r="E40" s="23" t="s">
        <v>235</v>
      </c>
      <c r="F40" s="23" t="n">
        <v>0</v>
      </c>
      <c r="G40" s="23" t="n">
        <v>0</v>
      </c>
      <c r="H40" s="23" t="n">
        <v>30</v>
      </c>
      <c r="I40" s="24" t="n">
        <f aca="false">ROUND($H40/30,2)</f>
        <v>1</v>
      </c>
      <c r="J40" s="25" t="n">
        <f aca="false">IF($Z40="CENSURADO",ROUND($T40/MAX($V40,3),2),ROUND($T40/$G$3,2))</f>
        <v>2.55</v>
      </c>
      <c r="K40" s="24" t="n">
        <f aca="false">ROUNDUP($J40*$C$3*7,0)</f>
        <v>54</v>
      </c>
      <c r="L40" s="24" t="n">
        <f aca="false">MAX(0,$K40-$F40-$G40)</f>
        <v>54</v>
      </c>
      <c r="M40" s="23" t="n">
        <v>42</v>
      </c>
      <c r="N40" s="23" t="n">
        <v>0</v>
      </c>
      <c r="O40" s="24" t="n">
        <f aca="false">$M40+$N40</f>
        <v>42</v>
      </c>
      <c r="P40" s="25" t="n">
        <f aca="false">MIN($L40,$O40)</f>
        <v>42</v>
      </c>
      <c r="Q40" s="23"/>
      <c r="R40" s="23" t="n">
        <v>1</v>
      </c>
      <c r="S40" s="23" t="s">
        <v>100</v>
      </c>
      <c r="T40" s="23" t="n">
        <v>28</v>
      </c>
      <c r="U40" s="23" t="n">
        <v>7</v>
      </c>
      <c r="V40" s="23" t="n">
        <v>11</v>
      </c>
      <c r="W40" s="23" t="n">
        <v>18</v>
      </c>
      <c r="X40" s="23" t="n">
        <v>6</v>
      </c>
      <c r="Y40" s="24" t="n">
        <f aca="false">IF($X40=0,"",ROUND($H40/$X40,2))</f>
        <v>5</v>
      </c>
      <c r="Z40" s="24" t="str">
        <f aca="false">IF(AND($F40=0,$T40&gt;=5,$W40&gt;=3),"CENSURADO",IF(AND($Y40&lt;&gt;"",$Y40&gt;=3,$T40&gt;=10),"CENSURADO",IF($T40=0,"SIN DATO","CONFIABLE")))</f>
        <v>CENSURADO</v>
      </c>
      <c r="AA40" s="24" t="n">
        <f aca="false">IF($I40=0,"",ROUND($J40/MAX($I40,0.01),2))</f>
        <v>2.55</v>
      </c>
      <c r="AB40" s="24" t="n">
        <f aca="false">IF($J40&lt;=0,"",ROUND(($F40+$G40)/$J40,0))</f>
        <v>0</v>
      </c>
      <c r="AC40" s="26" t="n">
        <f aca="false">IF($AB40="","",$J$3+$AB40)</f>
        <v>46245</v>
      </c>
      <c r="AD40" s="23" t="n">
        <v>0</v>
      </c>
      <c r="AE40" s="23" t="n">
        <v>0</v>
      </c>
      <c r="AF40" s="23" t="n">
        <v>0</v>
      </c>
      <c r="AG40" s="24" t="str">
        <f aca="false">IF($AF40=0,"",MAX(0,180-$AE40))</f>
        <v/>
      </c>
      <c r="AH40" s="27" t="n">
        <v>0</v>
      </c>
      <c r="AI40" s="28" t="str">
        <f aca="false">IF($AF40=0,"",$AF40*$Q$3-$AF40*$N$3)</f>
        <v/>
      </c>
      <c r="AJ40" s="23" t="n">
        <v>2.69</v>
      </c>
      <c r="AK40" s="28" t="n">
        <f aca="false">ROUND($F40*$AJ40,0)</f>
        <v>0</v>
      </c>
      <c r="AL40" s="25" t="str">
        <f aca="false">IF(AND($F40=0,$T40&gt;0,$O40=0),"QUIEBRE Y SIN STOCK PARA ENVIAR",IF(AND($F40=0,$T40&gt;0),"QUIEBRE",IF($F40=0,"SIN STOCK SIN DEMANDA",IF(AND($AF40&gt;0,$AG40&lt;&gt;"",OR($AB40="",$AB40&gt;$AG40)),"STOCK VIEJO EN RIESGO",IF(AND($T40=0,$H40=0),"SIN ROTACION",IF($AB40="","-",IF($AB40&lt;14,"REPONER",IF($AB40&gt;84,"SOBRE-STOCK","EN RANGO"))))))))</f>
        <v>QUIEBRE</v>
      </c>
    </row>
    <row r="41" customFormat="false" ht="15" hidden="false" customHeight="false" outlineLevel="0" collapsed="false">
      <c r="A41" s="4" t="s">
        <v>94</v>
      </c>
      <c r="B41" s="23" t="s">
        <v>236</v>
      </c>
      <c r="C41" s="23" t="s">
        <v>237</v>
      </c>
      <c r="D41" s="23" t="s">
        <v>238</v>
      </c>
      <c r="E41" s="23" t="s">
        <v>239</v>
      </c>
      <c r="F41" s="23" t="n">
        <v>0</v>
      </c>
      <c r="G41" s="23" t="n">
        <v>20</v>
      </c>
      <c r="H41" s="23" t="n">
        <v>2</v>
      </c>
      <c r="I41" s="24" t="n">
        <f aca="false">ROUND($H41/30,2)</f>
        <v>0.07</v>
      </c>
      <c r="J41" s="25" t="n">
        <f aca="false">IF($Z41="CENSURADO",ROUND($T41/MAX($V41,3),2),ROUND($T41/$G$3,2))</f>
        <v>1.17</v>
      </c>
      <c r="K41" s="24" t="n">
        <f aca="false">ROUNDUP($J41*$C$3*7,0)</f>
        <v>25</v>
      </c>
      <c r="L41" s="24" t="n">
        <f aca="false">MAX(0,$K41-$F41-$G41)</f>
        <v>5</v>
      </c>
      <c r="M41" s="23" t="n">
        <v>13623</v>
      </c>
      <c r="N41" s="23" t="n">
        <v>63</v>
      </c>
      <c r="O41" s="24" t="n">
        <f aca="false">$M41+$N41</f>
        <v>13686</v>
      </c>
      <c r="P41" s="25" t="n">
        <f aca="false">MIN($L41,$O41)</f>
        <v>5</v>
      </c>
      <c r="Q41" s="23" t="s">
        <v>99</v>
      </c>
      <c r="R41" s="23" t="n">
        <v>2</v>
      </c>
      <c r="S41" s="23" t="s">
        <v>100</v>
      </c>
      <c r="T41" s="23" t="n">
        <v>28</v>
      </c>
      <c r="U41" s="23" t="n">
        <v>6</v>
      </c>
      <c r="V41" s="23" t="n">
        <v>24</v>
      </c>
      <c r="W41" s="23" t="n">
        <v>7</v>
      </c>
      <c r="X41" s="23" t="n">
        <v>0</v>
      </c>
      <c r="Y41" s="24" t="str">
        <f aca="false">IF($X41=0,"",ROUND($H41/$X41,2))</f>
        <v/>
      </c>
      <c r="Z41" s="24" t="str">
        <f aca="false">IF(AND($F41=0,$T41&gt;=5,$W41&gt;=3),"CENSURADO",IF(AND($Y41&lt;&gt;"",$Y41&gt;=3,$T41&gt;=10),"CENSURADO",IF($T41=0,"SIN DATO","CONFIABLE")))</f>
        <v>CENSURADO</v>
      </c>
      <c r="AA41" s="24" t="n">
        <f aca="false">IF($I41=0,"",ROUND($J41/MAX($I41,0.01),2))</f>
        <v>16.71</v>
      </c>
      <c r="AB41" s="24" t="n">
        <f aca="false">IF($J41&lt;=0,"",ROUND(($F41+$G41)/$J41,0))</f>
        <v>17</v>
      </c>
      <c r="AC41" s="26" t="n">
        <f aca="false">IF($AB41="","",$J$3+$AB41)</f>
        <v>46262</v>
      </c>
      <c r="AD41" s="23" t="n">
        <v>0</v>
      </c>
      <c r="AE41" s="23" t="n">
        <v>166</v>
      </c>
      <c r="AF41" s="23" t="n">
        <v>7</v>
      </c>
      <c r="AG41" s="24" t="n">
        <f aca="false">IF($AF41=0,"",MAX(0,180-$AE41))</f>
        <v>14</v>
      </c>
      <c r="AH41" s="27" t="n">
        <v>3290</v>
      </c>
      <c r="AI41" s="28" t="n">
        <f aca="false">IF($AF41=0,"",$AF41*$Q$3-$AF41*$N$3)</f>
        <v>28105</v>
      </c>
      <c r="AJ41" s="23" t="n">
        <v>2.34</v>
      </c>
      <c r="AK41" s="28" t="n">
        <f aca="false">ROUND($F41*$AJ41,0)</f>
        <v>0</v>
      </c>
      <c r="AL41" s="25" t="str">
        <f aca="false">IF(AND($F41=0,$T41&gt;0,$O41=0),"QUIEBRE Y SIN STOCK PARA ENVIAR",IF(AND($F41=0,$T41&gt;0),"QUIEBRE",IF($F41=0,"SIN STOCK SIN DEMANDA",IF(AND($AF41&gt;0,$AG41&lt;&gt;"",OR($AB41="",$AB41&gt;$AG41)),"STOCK VIEJO EN RIESGO",IF(AND($T41=0,$H41=0),"SIN ROTACION",IF($AB41="","-",IF($AB41&lt;14,"REPONER",IF($AB41&gt;84,"SOBRE-STOCK","EN RANGO"))))))))</f>
        <v>QUIEBRE</v>
      </c>
    </row>
    <row r="42" customFormat="false" ht="15" hidden="false" customHeight="false" outlineLevel="0" collapsed="false">
      <c r="A42" s="4" t="s">
        <v>94</v>
      </c>
      <c r="B42" s="23" t="s">
        <v>240</v>
      </c>
      <c r="C42" s="23" t="s">
        <v>241</v>
      </c>
      <c r="D42" s="23" t="s">
        <v>242</v>
      </c>
      <c r="E42" s="23" t="s">
        <v>243</v>
      </c>
      <c r="F42" s="23" t="n">
        <v>0</v>
      </c>
      <c r="G42" s="23" t="n">
        <v>0</v>
      </c>
      <c r="H42" s="23" t="n">
        <v>24</v>
      </c>
      <c r="I42" s="24" t="n">
        <f aca="false">ROUND($H42/30,2)</f>
        <v>0.8</v>
      </c>
      <c r="J42" s="25" t="n">
        <f aca="false">IF($Z42="CENSURADO",ROUND($T42/MAX($V42,3),2),ROUND($T42/$G$3,2))</f>
        <v>1.42</v>
      </c>
      <c r="K42" s="24" t="n">
        <f aca="false">ROUNDUP($J42*$C$3*7,0)</f>
        <v>30</v>
      </c>
      <c r="L42" s="24" t="n">
        <f aca="false">MAX(0,$K42-$F42-$G42)</f>
        <v>30</v>
      </c>
      <c r="M42" s="23" t="n">
        <v>0</v>
      </c>
      <c r="N42" s="23" t="n">
        <v>0</v>
      </c>
      <c r="O42" s="24" t="n">
        <f aca="false">$M42+$N42</f>
        <v>0</v>
      </c>
      <c r="P42" s="25" t="n">
        <f aca="false">MIN($L42,$O42)</f>
        <v>0</v>
      </c>
      <c r="Q42" s="23"/>
      <c r="R42" s="23" t="n">
        <v>1</v>
      </c>
      <c r="S42" s="23" t="s">
        <v>133</v>
      </c>
      <c r="T42" s="23" t="n">
        <v>27</v>
      </c>
      <c r="U42" s="23" t="n">
        <v>11</v>
      </c>
      <c r="V42" s="23" t="n">
        <v>19</v>
      </c>
      <c r="W42" s="23" t="n">
        <v>13</v>
      </c>
      <c r="X42" s="23" t="n">
        <v>9</v>
      </c>
      <c r="Y42" s="24" t="n">
        <f aca="false">IF($X42=0,"",ROUND($H42/$X42,2))</f>
        <v>2.67</v>
      </c>
      <c r="Z42" s="24" t="str">
        <f aca="false">IF(AND($F42=0,$T42&gt;=5,$W42&gt;=3),"CENSURADO",IF(AND($Y42&lt;&gt;"",$Y42&gt;=3,$T42&gt;=10),"CENSURADO",IF($T42=0,"SIN DATO","CONFIABLE")))</f>
        <v>CENSURADO</v>
      </c>
      <c r="AA42" s="24" t="n">
        <f aca="false">IF($I42=0,"",ROUND($J42/MAX($I42,0.01),2))</f>
        <v>1.78</v>
      </c>
      <c r="AB42" s="24" t="n">
        <f aca="false">IF($J42&lt;=0,"",ROUND(($F42+$G42)/$J42,0))</f>
        <v>0</v>
      </c>
      <c r="AC42" s="26" t="n">
        <f aca="false">IF($AB42="","",$J$3+$AB42)</f>
        <v>46245</v>
      </c>
      <c r="AD42" s="23" t="n">
        <v>0</v>
      </c>
      <c r="AE42" s="23" t="n">
        <v>0</v>
      </c>
      <c r="AF42" s="23" t="n">
        <v>0</v>
      </c>
      <c r="AG42" s="24" t="str">
        <f aca="false">IF($AF42=0,"",MAX(0,180-$AE42))</f>
        <v/>
      </c>
      <c r="AH42" s="27" t="n">
        <v>0</v>
      </c>
      <c r="AI42" s="28" t="str">
        <f aca="false">IF($AF42=0,"",$AF42*$Q$3-$AF42*$N$3)</f>
        <v/>
      </c>
      <c r="AJ42" s="23" t="n">
        <v>0.89</v>
      </c>
      <c r="AK42" s="28" t="n">
        <f aca="false">ROUND($F42*$AJ42,0)</f>
        <v>0</v>
      </c>
      <c r="AL42" s="25" t="str">
        <f aca="false">IF(AND($F42=0,$T42&gt;0,$O42=0),"QUIEBRE Y SIN STOCK PARA ENVIAR",IF(AND($F42=0,$T42&gt;0),"QUIEBRE",IF($F42=0,"SIN STOCK SIN DEMANDA",IF(AND($AF42&gt;0,$AG42&lt;&gt;"",OR($AB42="",$AB42&gt;$AG42)),"STOCK VIEJO EN RIESGO",IF(AND($T42=0,$H42=0),"SIN ROTACION",IF($AB42="","-",IF($AB42&lt;14,"REPONER",IF($AB42&gt;84,"SOBRE-STOCK","EN RANGO"))))))))</f>
        <v>QUIEBRE Y SIN STOCK PARA ENVIAR</v>
      </c>
    </row>
    <row r="43" customFormat="false" ht="15" hidden="false" customHeight="false" outlineLevel="0" collapsed="false">
      <c r="A43" s="4" t="s">
        <v>94</v>
      </c>
      <c r="B43" s="23" t="s">
        <v>244</v>
      </c>
      <c r="C43" s="23" t="s">
        <v>245</v>
      </c>
      <c r="D43" s="23" t="s">
        <v>246</v>
      </c>
      <c r="E43" s="23" t="s">
        <v>247</v>
      </c>
      <c r="F43" s="23" t="n">
        <v>0</v>
      </c>
      <c r="G43" s="23" t="n">
        <v>0</v>
      </c>
      <c r="H43" s="23" t="n">
        <v>10</v>
      </c>
      <c r="I43" s="24" t="n">
        <f aca="false">ROUND($H43/30,2)</f>
        <v>0.33</v>
      </c>
      <c r="J43" s="25" t="n">
        <f aca="false">IF($Z43="CENSURADO",ROUND($T43/MAX($V43,3),2),ROUND($T43/$G$3,2))</f>
        <v>0.96</v>
      </c>
      <c r="K43" s="24" t="n">
        <f aca="false">ROUNDUP($J43*$C$3*7,0)</f>
        <v>21</v>
      </c>
      <c r="L43" s="24" t="n">
        <f aca="false">MAX(0,$K43-$F43-$G43)</f>
        <v>21</v>
      </c>
      <c r="M43" s="23" t="n">
        <v>703</v>
      </c>
      <c r="N43" s="23" t="n">
        <v>124</v>
      </c>
      <c r="O43" s="24" t="n">
        <f aca="false">$M43+$N43</f>
        <v>827</v>
      </c>
      <c r="P43" s="25" t="n">
        <f aca="false">MIN($L43,$O43)</f>
        <v>21</v>
      </c>
      <c r="Q43" s="23" t="s">
        <v>99</v>
      </c>
      <c r="R43" s="23" t="n">
        <v>2</v>
      </c>
      <c r="S43" s="23" t="s">
        <v>100</v>
      </c>
      <c r="T43" s="23" t="n">
        <v>27</v>
      </c>
      <c r="U43" s="23" t="n">
        <v>17</v>
      </c>
      <c r="V43" s="23" t="n">
        <v>28</v>
      </c>
      <c r="W43" s="23" t="n">
        <v>3</v>
      </c>
      <c r="X43" s="23" t="n">
        <v>3</v>
      </c>
      <c r="Y43" s="24" t="n">
        <f aca="false">IF($X43=0,"",ROUND($H43/$X43,2))</f>
        <v>3.33</v>
      </c>
      <c r="Z43" s="24" t="str">
        <f aca="false">IF(AND($F43=0,$T43&gt;=5,$W43&gt;=3),"CENSURADO",IF(AND($Y43&lt;&gt;"",$Y43&gt;=3,$T43&gt;=10),"CENSURADO",IF($T43=0,"SIN DATO","CONFIABLE")))</f>
        <v>CENSURADO</v>
      </c>
      <c r="AA43" s="24" t="n">
        <f aca="false">IF($I43=0,"",ROUND($J43/MAX($I43,0.01),2))</f>
        <v>2.91</v>
      </c>
      <c r="AB43" s="24" t="n">
        <f aca="false">IF($J43&lt;=0,"",ROUND(($F43+$G43)/$J43,0))</f>
        <v>0</v>
      </c>
      <c r="AC43" s="26" t="n">
        <f aca="false">IF($AB43="","",$J$3+$AB43)</f>
        <v>46245</v>
      </c>
      <c r="AD43" s="23" t="n">
        <v>0</v>
      </c>
      <c r="AE43" s="23" t="n">
        <v>0</v>
      </c>
      <c r="AF43" s="23" t="n">
        <v>0</v>
      </c>
      <c r="AG43" s="24" t="str">
        <f aca="false">IF($AF43=0,"",MAX(0,180-$AE43))</f>
        <v/>
      </c>
      <c r="AH43" s="27" t="n">
        <v>0</v>
      </c>
      <c r="AI43" s="28" t="str">
        <f aca="false">IF($AF43=0,"",$AF43*$Q$3-$AF43*$N$3)</f>
        <v/>
      </c>
      <c r="AJ43" s="23" t="n">
        <v>1.28</v>
      </c>
      <c r="AK43" s="28" t="n">
        <f aca="false">ROUND($F43*$AJ43,0)</f>
        <v>0</v>
      </c>
      <c r="AL43" s="25" t="str">
        <f aca="false">IF(AND($F43=0,$T43&gt;0,$O43=0),"QUIEBRE Y SIN STOCK PARA ENVIAR",IF(AND($F43=0,$T43&gt;0),"QUIEBRE",IF($F43=0,"SIN STOCK SIN DEMANDA",IF(AND($AF43&gt;0,$AG43&lt;&gt;"",OR($AB43="",$AB43&gt;$AG43)),"STOCK VIEJO EN RIESGO",IF(AND($T43=0,$H43=0),"SIN ROTACION",IF($AB43="","-",IF($AB43&lt;14,"REPONER",IF($AB43&gt;84,"SOBRE-STOCK","EN RANGO"))))))))</f>
        <v>QUIEBRE</v>
      </c>
    </row>
    <row r="44" customFormat="false" ht="15" hidden="false" customHeight="false" outlineLevel="0" collapsed="false">
      <c r="A44" s="4" t="s">
        <v>94</v>
      </c>
      <c r="B44" s="23" t="s">
        <v>248</v>
      </c>
      <c r="C44" s="23" t="s">
        <v>249</v>
      </c>
      <c r="D44" s="23" t="s">
        <v>250</v>
      </c>
      <c r="E44" s="23" t="s">
        <v>251</v>
      </c>
      <c r="F44" s="23" t="n">
        <v>0</v>
      </c>
      <c r="G44" s="23" t="n">
        <v>10</v>
      </c>
      <c r="H44" s="23" t="n">
        <v>23</v>
      </c>
      <c r="I44" s="24" t="n">
        <f aca="false">ROUND($H44/30,2)</f>
        <v>0.77</v>
      </c>
      <c r="J44" s="25" t="n">
        <f aca="false">IF($Z44="CENSURADO",ROUND($T44/MAX($V44,3),2),ROUND($T44/$G$3,2))</f>
        <v>1</v>
      </c>
      <c r="K44" s="24" t="n">
        <f aca="false">ROUNDUP($J44*$C$3*7,0)</f>
        <v>21</v>
      </c>
      <c r="L44" s="24" t="n">
        <f aca="false">MAX(0,$K44-$F44-$G44)</f>
        <v>11</v>
      </c>
      <c r="M44" s="23" t="n">
        <v>211</v>
      </c>
      <c r="N44" s="23" t="n">
        <v>14</v>
      </c>
      <c r="O44" s="24" t="n">
        <f aca="false">$M44+$N44</f>
        <v>225</v>
      </c>
      <c r="P44" s="25" t="n">
        <f aca="false">MIN($L44,$O44)</f>
        <v>11</v>
      </c>
      <c r="Q44" s="23" t="s">
        <v>99</v>
      </c>
      <c r="R44" s="23" t="n">
        <v>1</v>
      </c>
      <c r="S44" s="23" t="s">
        <v>100</v>
      </c>
      <c r="T44" s="23" t="n">
        <v>26</v>
      </c>
      <c r="U44" s="23" t="n">
        <v>9</v>
      </c>
      <c r="V44" s="23" t="n">
        <v>26</v>
      </c>
      <c r="W44" s="23" t="n">
        <v>3</v>
      </c>
      <c r="X44" s="23" t="n">
        <v>11</v>
      </c>
      <c r="Y44" s="24" t="n">
        <f aca="false">IF($X44=0,"",ROUND($H44/$X44,2))</f>
        <v>2.09</v>
      </c>
      <c r="Z44" s="24" t="str">
        <f aca="false">IF(AND($F44=0,$T44&gt;=5,$W44&gt;=3),"CENSURADO",IF(AND($Y44&lt;&gt;"",$Y44&gt;=3,$T44&gt;=10),"CENSURADO",IF($T44=0,"SIN DATO","CONFIABLE")))</f>
        <v>CENSURADO</v>
      </c>
      <c r="AA44" s="24" t="n">
        <f aca="false">IF($I44=0,"",ROUND($J44/MAX($I44,0.01),2))</f>
        <v>1.3</v>
      </c>
      <c r="AB44" s="24" t="n">
        <f aca="false">IF($J44&lt;=0,"",ROUND(($F44+$G44)/$J44,0))</f>
        <v>10</v>
      </c>
      <c r="AC44" s="26" t="n">
        <f aca="false">IF($AB44="","",$J$3+$AB44)</f>
        <v>46255</v>
      </c>
      <c r="AD44" s="23" t="n">
        <v>0</v>
      </c>
      <c r="AE44" s="23" t="n">
        <v>0</v>
      </c>
      <c r="AF44" s="23" t="n">
        <v>0</v>
      </c>
      <c r="AG44" s="24" t="str">
        <f aca="false">IF($AF44=0,"",MAX(0,180-$AE44))</f>
        <v/>
      </c>
      <c r="AH44" s="27" t="n">
        <v>0</v>
      </c>
      <c r="AI44" s="28" t="str">
        <f aca="false">IF($AF44=0,"",$AF44*$Q$3-$AF44*$N$3)</f>
        <v/>
      </c>
      <c r="AJ44" s="23" t="n">
        <v>1.84</v>
      </c>
      <c r="AK44" s="28" t="n">
        <f aca="false">ROUND($F44*$AJ44,0)</f>
        <v>0</v>
      </c>
      <c r="AL44" s="25" t="str">
        <f aca="false">IF(AND($F44=0,$T44&gt;0,$O44=0),"QUIEBRE Y SIN STOCK PARA ENVIAR",IF(AND($F44=0,$T44&gt;0),"QUIEBRE",IF($F44=0,"SIN STOCK SIN DEMANDA",IF(AND($AF44&gt;0,$AG44&lt;&gt;"",OR($AB44="",$AB44&gt;$AG44)),"STOCK VIEJO EN RIESGO",IF(AND($T44=0,$H44=0),"SIN ROTACION",IF($AB44="","-",IF($AB44&lt;14,"REPONER",IF($AB44&gt;84,"SOBRE-STOCK","EN RANGO"))))))))</f>
        <v>QUIEBRE</v>
      </c>
    </row>
    <row r="45" customFormat="false" ht="15" hidden="false" customHeight="false" outlineLevel="0" collapsed="false">
      <c r="A45" s="4" t="s">
        <v>94</v>
      </c>
      <c r="B45" s="23" t="s">
        <v>252</v>
      </c>
      <c r="C45" s="23" t="s">
        <v>253</v>
      </c>
      <c r="D45" s="23" t="s">
        <v>254</v>
      </c>
      <c r="E45" s="23" t="s">
        <v>255</v>
      </c>
      <c r="F45" s="23" t="n">
        <v>6</v>
      </c>
      <c r="G45" s="23" t="n">
        <v>20</v>
      </c>
      <c r="H45" s="23" t="n">
        <v>7</v>
      </c>
      <c r="I45" s="24" t="n">
        <f aca="false">ROUND($H45/30,2)</f>
        <v>0.23</v>
      </c>
      <c r="J45" s="25" t="n">
        <f aca="false">IF($Z45="CENSURADO",ROUND($T45/MAX($V45,3),2),ROUND($T45/$G$3,2))</f>
        <v>0.75</v>
      </c>
      <c r="K45" s="24" t="n">
        <f aca="false">ROUNDUP($J45*$C$3*7,0)</f>
        <v>16</v>
      </c>
      <c r="L45" s="24" t="n">
        <f aca="false">MAX(0,$K45-$F45-$G45)</f>
        <v>0</v>
      </c>
      <c r="M45" s="23" t="n">
        <v>410</v>
      </c>
      <c r="N45" s="23" t="n">
        <v>342</v>
      </c>
      <c r="O45" s="24" t="n">
        <f aca="false">$M45+$N45</f>
        <v>752</v>
      </c>
      <c r="P45" s="25" t="n">
        <f aca="false">MIN($L45,$O45)</f>
        <v>0</v>
      </c>
      <c r="Q45" s="23" t="s">
        <v>99</v>
      </c>
      <c r="R45" s="23" t="n">
        <v>1</v>
      </c>
      <c r="S45" s="23" t="s">
        <v>100</v>
      </c>
      <c r="T45" s="23" t="n">
        <v>24</v>
      </c>
      <c r="U45" s="23" t="n">
        <v>18</v>
      </c>
      <c r="V45" s="23" t="n">
        <v>30</v>
      </c>
      <c r="W45" s="23" t="n">
        <v>0</v>
      </c>
      <c r="X45" s="23" t="n">
        <v>10</v>
      </c>
      <c r="Y45" s="24" t="n">
        <f aca="false">IF($X45=0,"",ROUND($H45/$X45,2))</f>
        <v>0.7</v>
      </c>
      <c r="Z45" s="24" t="str">
        <f aca="false">IF(AND($F45=0,$T45&gt;=5,$W45&gt;=3),"CENSURADO",IF(AND($Y45&lt;&gt;"",$Y45&gt;=3,$T45&gt;=10),"CENSURADO",IF($T45=0,"SIN DATO","CONFIABLE")))</f>
        <v>CONFIABLE</v>
      </c>
      <c r="AA45" s="24" t="n">
        <f aca="false">IF($I45=0,"",ROUND($J45/MAX($I45,0.01),2))</f>
        <v>3.26</v>
      </c>
      <c r="AB45" s="24" t="n">
        <f aca="false">IF($J45&lt;=0,"",ROUND(($F45+$G45)/$J45,0))</f>
        <v>35</v>
      </c>
      <c r="AC45" s="26" t="n">
        <f aca="false">IF($AB45="","",$J$3+$AB45)</f>
        <v>46280</v>
      </c>
      <c r="AD45" s="23" t="n">
        <v>0</v>
      </c>
      <c r="AE45" s="23" t="n">
        <v>0</v>
      </c>
      <c r="AF45" s="23" t="n">
        <v>0</v>
      </c>
      <c r="AG45" s="24" t="str">
        <f aca="false">IF($AF45=0,"",MAX(0,180-$AE45))</f>
        <v/>
      </c>
      <c r="AH45" s="27" t="n">
        <v>0</v>
      </c>
      <c r="AI45" s="28" t="str">
        <f aca="false">IF($AF45=0,"",$AF45*$Q$3-$AF45*$N$3)</f>
        <v/>
      </c>
      <c r="AJ45" s="23" t="n">
        <v>24.83</v>
      </c>
      <c r="AK45" s="28" t="n">
        <f aca="false">ROUND($F45*$AJ45,0)</f>
        <v>149</v>
      </c>
      <c r="AL45" s="25" t="str">
        <f aca="false">IF(AND($F45=0,$T45&gt;0,$O45=0),"QUIEBRE Y SIN STOCK PARA ENVIAR",IF(AND($F45=0,$T45&gt;0),"QUIEBRE",IF($F45=0,"SIN STOCK SIN DEMANDA",IF(AND($AF45&gt;0,$AG45&lt;&gt;"",OR($AB45="",$AB45&gt;$AG45)),"STOCK VIEJO EN RIESGO",IF(AND($T45=0,$H45=0),"SIN ROTACION",IF($AB45="","-",IF($AB45&lt;14,"REPONER",IF($AB45&gt;84,"SOBRE-STOCK","EN RANGO"))))))))</f>
        <v>EN RANGO</v>
      </c>
    </row>
    <row r="46" customFormat="false" ht="15" hidden="false" customHeight="false" outlineLevel="0" collapsed="false">
      <c r="A46" s="4" t="s">
        <v>94</v>
      </c>
      <c r="B46" s="23" t="s">
        <v>256</v>
      </c>
      <c r="C46" s="23" t="s">
        <v>257</v>
      </c>
      <c r="D46" s="23" t="s">
        <v>258</v>
      </c>
      <c r="E46" s="23" t="s">
        <v>259</v>
      </c>
      <c r="F46" s="23" t="n">
        <v>6</v>
      </c>
      <c r="G46" s="23" t="n">
        <v>0</v>
      </c>
      <c r="H46" s="23" t="n">
        <v>0</v>
      </c>
      <c r="I46" s="24" t="n">
        <f aca="false">ROUND($H46/30,2)</f>
        <v>0</v>
      </c>
      <c r="J46" s="25" t="n">
        <f aca="false">IF($Z46="CENSURADO",ROUND($T46/MAX($V46,3),2),ROUND($T46/$G$3,2))</f>
        <v>0.72</v>
      </c>
      <c r="K46" s="24" t="n">
        <f aca="false">ROUNDUP($J46*$C$3*7,0)</f>
        <v>16</v>
      </c>
      <c r="L46" s="24" t="n">
        <f aca="false">MAX(0,$K46-$F46-$G46)</f>
        <v>10</v>
      </c>
      <c r="M46" s="23" t="n">
        <v>36</v>
      </c>
      <c r="N46" s="23" t="n">
        <v>1090</v>
      </c>
      <c r="O46" s="24" t="n">
        <f aca="false">$M46+$N46</f>
        <v>1126</v>
      </c>
      <c r="P46" s="25" t="n">
        <f aca="false">MIN($L46,$O46)</f>
        <v>10</v>
      </c>
      <c r="Q46" s="23" t="s">
        <v>99</v>
      </c>
      <c r="R46" s="23" t="n">
        <v>1</v>
      </c>
      <c r="S46" s="23" t="s">
        <v>100</v>
      </c>
      <c r="T46" s="23" t="n">
        <v>23</v>
      </c>
      <c r="U46" s="23" t="n">
        <v>4</v>
      </c>
      <c r="V46" s="23" t="n">
        <v>7</v>
      </c>
      <c r="W46" s="23" t="n">
        <v>4</v>
      </c>
      <c r="X46" s="23" t="n">
        <v>6</v>
      </c>
      <c r="Y46" s="24" t="n">
        <f aca="false">IF($X46=0,"",ROUND($H46/$X46,2))</f>
        <v>0</v>
      </c>
      <c r="Z46" s="24" t="str">
        <f aca="false">IF(AND($F46=0,$T46&gt;=5,$W46&gt;=3),"CENSURADO",IF(AND($Y46&lt;&gt;"",$Y46&gt;=3,$T46&gt;=10),"CENSURADO",IF($T46=0,"SIN DATO","CONFIABLE")))</f>
        <v>CONFIABLE</v>
      </c>
      <c r="AA46" s="24" t="str">
        <f aca="false">IF($I46=0,"",ROUND($J46/MAX($I46,0.01),2))</f>
        <v/>
      </c>
      <c r="AB46" s="24" t="n">
        <f aca="false">IF($J46&lt;=0,"",ROUND(($F46+$G46)/$J46,0))</f>
        <v>8</v>
      </c>
      <c r="AC46" s="26" t="n">
        <f aca="false">IF($AB46="","",$J$3+$AB46)</f>
        <v>46253</v>
      </c>
      <c r="AD46" s="23" t="n">
        <v>0</v>
      </c>
      <c r="AE46" s="23" t="n">
        <v>215</v>
      </c>
      <c r="AF46" s="23" t="n">
        <v>0</v>
      </c>
      <c r="AG46" s="24" t="str">
        <f aca="false">IF($AF46=0,"",MAX(0,180-$AE46))</f>
        <v/>
      </c>
      <c r="AH46" s="27" t="n">
        <v>4485</v>
      </c>
      <c r="AI46" s="28" t="str">
        <f aca="false">IF($AF46=0,"",$AF46*$Q$3-$AF46*$N$3)</f>
        <v/>
      </c>
      <c r="AJ46" s="23" t="n">
        <v>1.41</v>
      </c>
      <c r="AK46" s="28" t="n">
        <f aca="false">ROUND($F46*$AJ46,0)</f>
        <v>8</v>
      </c>
      <c r="AL46" s="25" t="str">
        <f aca="false">IF(AND($F46=0,$T46&gt;0,$O46=0),"QUIEBRE Y SIN STOCK PARA ENVIAR",IF(AND($F46=0,$T46&gt;0),"QUIEBRE",IF($F46=0,"SIN STOCK SIN DEMANDA",IF(AND($AF46&gt;0,$AG46&lt;&gt;"",OR($AB46="",$AB46&gt;$AG46)),"STOCK VIEJO EN RIESGO",IF(AND($T46=0,$H46=0),"SIN ROTACION",IF($AB46="","-",IF($AB46&lt;14,"REPONER",IF($AB46&gt;84,"SOBRE-STOCK","EN RANGO"))))))))</f>
        <v>REPONER</v>
      </c>
    </row>
    <row r="47" customFormat="false" ht="15" hidden="false" customHeight="false" outlineLevel="0" collapsed="false">
      <c r="A47" s="4" t="s">
        <v>94</v>
      </c>
      <c r="B47" s="23" t="s">
        <v>260</v>
      </c>
      <c r="C47" s="23" t="s">
        <v>261</v>
      </c>
      <c r="D47" s="23" t="s">
        <v>262</v>
      </c>
      <c r="E47" s="23" t="s">
        <v>263</v>
      </c>
      <c r="F47" s="23" t="n">
        <v>0</v>
      </c>
      <c r="G47" s="23" t="n">
        <v>0</v>
      </c>
      <c r="H47" s="23" t="n">
        <v>0</v>
      </c>
      <c r="I47" s="24" t="n">
        <f aca="false">ROUND($H47/30,2)</f>
        <v>0</v>
      </c>
      <c r="J47" s="25" t="n">
        <f aca="false">IF($Z47="CENSURADO",ROUND($T47/MAX($V47,3),2),ROUND($T47/$G$3,2))</f>
        <v>0.69</v>
      </c>
      <c r="K47" s="24" t="n">
        <f aca="false">ROUNDUP($J47*$C$3*7,0)</f>
        <v>15</v>
      </c>
      <c r="L47" s="24" t="n">
        <f aca="false">MAX(0,$K47-$F47-$G47)</f>
        <v>15</v>
      </c>
      <c r="M47" s="23" t="n">
        <v>0</v>
      </c>
      <c r="N47" s="23" t="n">
        <v>0</v>
      </c>
      <c r="O47" s="24" t="n">
        <f aca="false">$M47+$N47</f>
        <v>0</v>
      </c>
      <c r="P47" s="25" t="n">
        <f aca="false">MIN($L47,$O47)</f>
        <v>0</v>
      </c>
      <c r="Q47" s="23" t="s">
        <v>99</v>
      </c>
      <c r="R47" s="23" t="n">
        <v>1</v>
      </c>
      <c r="S47" s="23" t="s">
        <v>100</v>
      </c>
      <c r="T47" s="23" t="n">
        <v>22</v>
      </c>
      <c r="U47" s="23" t="n">
        <v>11</v>
      </c>
      <c r="V47" s="23" t="n">
        <v>31</v>
      </c>
      <c r="W47" s="23" t="n">
        <v>1</v>
      </c>
      <c r="X47" s="23" t="n">
        <v>0</v>
      </c>
      <c r="Y47" s="24" t="str">
        <f aca="false">IF($X47=0,"",ROUND($H47/$X47,2))</f>
        <v/>
      </c>
      <c r="Z47" s="24" t="str">
        <f aca="false">IF(AND($F47=0,$T47&gt;=5,$W47&gt;=3),"CENSURADO",IF(AND($Y47&lt;&gt;"",$Y47&gt;=3,$T47&gt;=10),"CENSURADO",IF($T47=0,"SIN DATO","CONFIABLE")))</f>
        <v>CONFIABLE</v>
      </c>
      <c r="AA47" s="24" t="str">
        <f aca="false">IF($I47=0,"",ROUND($J47/MAX($I47,0.01),2))</f>
        <v/>
      </c>
      <c r="AB47" s="24" t="n">
        <f aca="false">IF($J47&lt;=0,"",ROUND(($F47+$G47)/$J47,0))</f>
        <v>0</v>
      </c>
      <c r="AC47" s="26" t="n">
        <f aca="false">IF($AB47="","",$J$3+$AB47)</f>
        <v>46245</v>
      </c>
      <c r="AD47" s="23" t="n">
        <v>0</v>
      </c>
      <c r="AE47" s="23" t="n">
        <v>0</v>
      </c>
      <c r="AF47" s="23" t="n">
        <v>0</v>
      </c>
      <c r="AG47" s="24" t="str">
        <f aca="false">IF($AF47=0,"",MAX(0,180-$AE47))</f>
        <v/>
      </c>
      <c r="AH47" s="27" t="n">
        <v>0</v>
      </c>
      <c r="AI47" s="28" t="str">
        <f aca="false">IF($AF47=0,"",$AF47*$Q$3-$AF47*$N$3)</f>
        <v/>
      </c>
      <c r="AJ47" s="23" t="n">
        <v>0</v>
      </c>
      <c r="AK47" s="28" t="n">
        <f aca="false">ROUND($F47*$AJ47,0)</f>
        <v>0</v>
      </c>
      <c r="AL47" s="25" t="str">
        <f aca="false">IF(AND($F47=0,$T47&gt;0,$O47=0),"QUIEBRE Y SIN STOCK PARA ENVIAR",IF(AND($F47=0,$T47&gt;0),"QUIEBRE",IF($F47=0,"SIN STOCK SIN DEMANDA",IF(AND($AF47&gt;0,$AG47&lt;&gt;"",OR($AB47="",$AB47&gt;$AG47)),"STOCK VIEJO EN RIESGO",IF(AND($T47=0,$H47=0),"SIN ROTACION",IF($AB47="","-",IF($AB47&lt;14,"REPONER",IF($AB47&gt;84,"SOBRE-STOCK","EN RANGO"))))))))</f>
        <v>QUIEBRE Y SIN STOCK PARA ENVIAR</v>
      </c>
    </row>
    <row r="48" customFormat="false" ht="15" hidden="false" customHeight="false" outlineLevel="0" collapsed="false">
      <c r="A48" s="4" t="s">
        <v>94</v>
      </c>
      <c r="B48" s="23" t="s">
        <v>264</v>
      </c>
      <c r="C48" s="23" t="s">
        <v>265</v>
      </c>
      <c r="D48" s="23" t="s">
        <v>266</v>
      </c>
      <c r="E48" s="23" t="s">
        <v>267</v>
      </c>
      <c r="F48" s="23" t="n">
        <v>4</v>
      </c>
      <c r="G48" s="23" t="n">
        <v>0</v>
      </c>
      <c r="H48" s="23" t="n">
        <v>1</v>
      </c>
      <c r="I48" s="24" t="n">
        <f aca="false">ROUND($H48/30,2)</f>
        <v>0.03</v>
      </c>
      <c r="J48" s="25" t="n">
        <f aca="false">IF($Z48="CENSURADO",ROUND($T48/MAX($V48,3),2),ROUND($T48/$G$3,2))</f>
        <v>0.69</v>
      </c>
      <c r="K48" s="24" t="n">
        <f aca="false">ROUNDUP($J48*$C$3*7,0)</f>
        <v>15</v>
      </c>
      <c r="L48" s="24" t="n">
        <f aca="false">MAX(0,$K48-$F48-$G48)</f>
        <v>11</v>
      </c>
      <c r="M48" s="23" t="n">
        <v>88</v>
      </c>
      <c r="N48" s="23" t="n">
        <v>65</v>
      </c>
      <c r="O48" s="24" t="n">
        <f aca="false">$M48+$N48</f>
        <v>153</v>
      </c>
      <c r="P48" s="25" t="n">
        <f aca="false">MIN($L48,$O48)</f>
        <v>11</v>
      </c>
      <c r="Q48" s="23" t="s">
        <v>99</v>
      </c>
      <c r="R48" s="23" t="n">
        <v>1</v>
      </c>
      <c r="S48" s="23" t="s">
        <v>100</v>
      </c>
      <c r="T48" s="23" t="n">
        <v>22</v>
      </c>
      <c r="U48" s="23" t="n">
        <v>10</v>
      </c>
      <c r="V48" s="23" t="n">
        <v>24</v>
      </c>
      <c r="W48" s="23" t="n">
        <v>7</v>
      </c>
      <c r="X48" s="23" t="n">
        <v>5</v>
      </c>
      <c r="Y48" s="24" t="n">
        <f aca="false">IF($X48=0,"",ROUND($H48/$X48,2))</f>
        <v>0.2</v>
      </c>
      <c r="Z48" s="24" t="str">
        <f aca="false">IF(AND($F48=0,$T48&gt;=5,$W48&gt;=3),"CENSURADO",IF(AND($Y48&lt;&gt;"",$Y48&gt;=3,$T48&gt;=10),"CENSURADO",IF($T48=0,"SIN DATO","CONFIABLE")))</f>
        <v>CONFIABLE</v>
      </c>
      <c r="AA48" s="24" t="n">
        <f aca="false">IF($I48=0,"",ROUND($J48/MAX($I48,0.01),2))</f>
        <v>23</v>
      </c>
      <c r="AB48" s="24" t="n">
        <f aca="false">IF($J48&lt;=0,"",ROUND(($F48+$G48)/$J48,0))</f>
        <v>6</v>
      </c>
      <c r="AC48" s="26" t="n">
        <f aca="false">IF($AB48="","",$J$3+$AB48)</f>
        <v>46251</v>
      </c>
      <c r="AD48" s="23" t="n">
        <v>0</v>
      </c>
      <c r="AE48" s="23" t="n">
        <v>275</v>
      </c>
      <c r="AF48" s="23" t="n">
        <v>2</v>
      </c>
      <c r="AG48" s="24" t="n">
        <f aca="false">IF($AF48=0,"",MAX(0,180-$AE48))</f>
        <v>0</v>
      </c>
      <c r="AH48" s="27" t="n">
        <v>14395</v>
      </c>
      <c r="AI48" s="28" t="n">
        <f aca="false">IF($AF48=0,"",$AF48*$Q$3-$AF48*$N$3)</f>
        <v>8030</v>
      </c>
      <c r="AJ48" s="23" t="n">
        <v>6.53</v>
      </c>
      <c r="AK48" s="28" t="n">
        <f aca="false">ROUND($F48*$AJ48,0)</f>
        <v>26</v>
      </c>
      <c r="AL48" s="25" t="str">
        <f aca="false">IF(AND($F48=0,$T48&gt;0,$O48=0),"QUIEBRE Y SIN STOCK PARA ENVIAR",IF(AND($F48=0,$T48&gt;0),"QUIEBRE",IF($F48=0,"SIN STOCK SIN DEMANDA",IF(AND($AF48&gt;0,$AG48&lt;&gt;"",OR($AB48="",$AB48&gt;$AG48)),"STOCK VIEJO EN RIESGO",IF(AND($T48=0,$H48=0),"SIN ROTACION",IF($AB48="","-",IF($AB48&lt;14,"REPONER",IF($AB48&gt;84,"SOBRE-STOCK","EN RANGO"))))))))</f>
        <v>STOCK VIEJO EN RIESGO</v>
      </c>
    </row>
    <row r="49" customFormat="false" ht="15" hidden="false" customHeight="false" outlineLevel="0" collapsed="false">
      <c r="A49" s="4" t="s">
        <v>94</v>
      </c>
      <c r="B49" s="23" t="s">
        <v>268</v>
      </c>
      <c r="C49" s="23" t="s">
        <v>269</v>
      </c>
      <c r="D49" s="23" t="s">
        <v>270</v>
      </c>
      <c r="E49" s="23" t="s">
        <v>271</v>
      </c>
      <c r="F49" s="23" t="n">
        <v>0</v>
      </c>
      <c r="G49" s="23" t="n">
        <v>15</v>
      </c>
      <c r="H49" s="23" t="n">
        <v>14</v>
      </c>
      <c r="I49" s="24" t="n">
        <f aca="false">ROUND($H49/30,2)</f>
        <v>0.47</v>
      </c>
      <c r="J49" s="25" t="n">
        <f aca="false">IF($Z49="CENSURADO",ROUND($T49/MAX($V49,3),2),ROUND($T49/$G$3,2))</f>
        <v>0.91</v>
      </c>
      <c r="K49" s="24" t="n">
        <f aca="false">ROUNDUP($J49*$C$3*7,0)</f>
        <v>20</v>
      </c>
      <c r="L49" s="24" t="n">
        <f aca="false">MAX(0,$K49-$F49-$G49)</f>
        <v>5</v>
      </c>
      <c r="M49" s="23" t="n">
        <v>8164</v>
      </c>
      <c r="N49" s="23" t="n">
        <v>157</v>
      </c>
      <c r="O49" s="24" t="n">
        <f aca="false">$M49+$N49</f>
        <v>8321</v>
      </c>
      <c r="P49" s="25" t="n">
        <f aca="false">MIN($L49,$O49)</f>
        <v>5</v>
      </c>
      <c r="Q49" s="23" t="s">
        <v>99</v>
      </c>
      <c r="R49" s="23" t="n">
        <v>1</v>
      </c>
      <c r="S49" s="23" t="s">
        <v>100</v>
      </c>
      <c r="T49" s="23" t="n">
        <v>21</v>
      </c>
      <c r="U49" s="23" t="n">
        <v>6</v>
      </c>
      <c r="V49" s="23" t="n">
        <v>23</v>
      </c>
      <c r="W49" s="23" t="n">
        <v>7</v>
      </c>
      <c r="X49" s="23" t="n">
        <v>3</v>
      </c>
      <c r="Y49" s="24" t="n">
        <f aca="false">IF($X49=0,"",ROUND($H49/$X49,2))</f>
        <v>4.67</v>
      </c>
      <c r="Z49" s="24" t="str">
        <f aca="false">IF(AND($F49=0,$T49&gt;=5,$W49&gt;=3),"CENSURADO",IF(AND($Y49&lt;&gt;"",$Y49&gt;=3,$T49&gt;=10),"CENSURADO",IF($T49=0,"SIN DATO","CONFIABLE")))</f>
        <v>CENSURADO</v>
      </c>
      <c r="AA49" s="24" t="n">
        <f aca="false">IF($I49=0,"",ROUND($J49/MAX($I49,0.01),2))</f>
        <v>1.94</v>
      </c>
      <c r="AB49" s="24" t="n">
        <f aca="false">IF($J49&lt;=0,"",ROUND(($F49+$G49)/$J49,0))</f>
        <v>16</v>
      </c>
      <c r="AC49" s="26" t="n">
        <f aca="false">IF($AB49="","",$J$3+$AB49)</f>
        <v>46261</v>
      </c>
      <c r="AD49" s="23" t="n">
        <v>0</v>
      </c>
      <c r="AE49" s="23" t="n">
        <v>0</v>
      </c>
      <c r="AF49" s="23" t="n">
        <v>0</v>
      </c>
      <c r="AG49" s="24" t="str">
        <f aca="false">IF($AF49=0,"",MAX(0,180-$AE49))</f>
        <v/>
      </c>
      <c r="AH49" s="27" t="n">
        <v>0</v>
      </c>
      <c r="AI49" s="28" t="str">
        <f aca="false">IF($AF49=0,"",$AF49*$Q$3-$AF49*$N$3)</f>
        <v/>
      </c>
      <c r="AJ49" s="23" t="n">
        <v>2.97</v>
      </c>
      <c r="AK49" s="28" t="n">
        <f aca="false">ROUND($F49*$AJ49,0)</f>
        <v>0</v>
      </c>
      <c r="AL49" s="25" t="str">
        <f aca="false">IF(AND($F49=0,$T49&gt;0,$O49=0),"QUIEBRE Y SIN STOCK PARA ENVIAR",IF(AND($F49=0,$T49&gt;0),"QUIEBRE",IF($F49=0,"SIN STOCK SIN DEMANDA",IF(AND($AF49&gt;0,$AG49&lt;&gt;"",OR($AB49="",$AB49&gt;$AG49)),"STOCK VIEJO EN RIESGO",IF(AND($T49=0,$H49=0),"SIN ROTACION",IF($AB49="","-",IF($AB49&lt;14,"REPONER",IF($AB49&gt;84,"SOBRE-STOCK","EN RANGO"))))))))</f>
        <v>QUIEBRE</v>
      </c>
    </row>
    <row r="50" customFormat="false" ht="15" hidden="false" customHeight="false" outlineLevel="0" collapsed="false">
      <c r="A50" s="4" t="s">
        <v>94</v>
      </c>
      <c r="B50" s="23" t="s">
        <v>272</v>
      </c>
      <c r="C50" s="23" t="s">
        <v>273</v>
      </c>
      <c r="D50" s="23" t="s">
        <v>274</v>
      </c>
      <c r="E50" s="23" t="s">
        <v>275</v>
      </c>
      <c r="F50" s="23" t="n">
        <v>5</v>
      </c>
      <c r="G50" s="23" t="n">
        <v>0</v>
      </c>
      <c r="H50" s="23" t="n">
        <v>9</v>
      </c>
      <c r="I50" s="24" t="n">
        <f aca="false">ROUND($H50/30,2)</f>
        <v>0.3</v>
      </c>
      <c r="J50" s="25" t="n">
        <f aca="false">IF($Z50="CENSURADO",ROUND($T50/MAX($V50,3),2),ROUND($T50/$G$3,2))</f>
        <v>0.66</v>
      </c>
      <c r="K50" s="24" t="n">
        <f aca="false">ROUNDUP($J50*$C$3*7,0)</f>
        <v>14</v>
      </c>
      <c r="L50" s="24" t="n">
        <f aca="false">MAX(0,$K50-$F50-$G50)</f>
        <v>9</v>
      </c>
      <c r="M50" s="23" t="n">
        <v>0</v>
      </c>
      <c r="N50" s="23" t="n">
        <v>0</v>
      </c>
      <c r="O50" s="24" t="n">
        <f aca="false">$M50+$N50</f>
        <v>0</v>
      </c>
      <c r="P50" s="25" t="n">
        <f aca="false">MIN($L50,$O50)</f>
        <v>0</v>
      </c>
      <c r="Q50" s="23" t="s">
        <v>99</v>
      </c>
      <c r="R50" s="23" t="n">
        <v>1</v>
      </c>
      <c r="S50" s="23" t="s">
        <v>100</v>
      </c>
      <c r="T50" s="23" t="n">
        <v>21</v>
      </c>
      <c r="U50" s="23" t="n">
        <v>15</v>
      </c>
      <c r="V50" s="23" t="n">
        <v>27</v>
      </c>
      <c r="W50" s="23" t="n">
        <v>4</v>
      </c>
      <c r="X50" s="23" t="n">
        <v>11</v>
      </c>
      <c r="Y50" s="24" t="n">
        <f aca="false">IF($X50=0,"",ROUND($H50/$X50,2))</f>
        <v>0.82</v>
      </c>
      <c r="Z50" s="24" t="str">
        <f aca="false">IF(AND($F50=0,$T50&gt;=5,$W50&gt;=3),"CENSURADO",IF(AND($Y50&lt;&gt;"",$Y50&gt;=3,$T50&gt;=10),"CENSURADO",IF($T50=0,"SIN DATO","CONFIABLE")))</f>
        <v>CONFIABLE</v>
      </c>
      <c r="AA50" s="24" t="n">
        <f aca="false">IF($I50=0,"",ROUND($J50/MAX($I50,0.01),2))</f>
        <v>2.2</v>
      </c>
      <c r="AB50" s="24" t="n">
        <f aca="false">IF($J50&lt;=0,"",ROUND(($F50+$G50)/$J50,0))</f>
        <v>8</v>
      </c>
      <c r="AC50" s="26" t="n">
        <f aca="false">IF($AB50="","",$J$3+$AB50)</f>
        <v>46253</v>
      </c>
      <c r="AD50" s="23" t="n">
        <v>0</v>
      </c>
      <c r="AE50" s="23" t="n">
        <v>0</v>
      </c>
      <c r="AF50" s="23" t="n">
        <v>0</v>
      </c>
      <c r="AG50" s="24" t="str">
        <f aca="false">IF($AF50=0,"",MAX(0,180-$AE50))</f>
        <v/>
      </c>
      <c r="AH50" s="27" t="n">
        <v>0</v>
      </c>
      <c r="AI50" s="28" t="str">
        <f aca="false">IF($AF50=0,"",$AF50*$Q$3-$AF50*$N$3)</f>
        <v/>
      </c>
      <c r="AJ50" s="23" t="n">
        <v>74.26</v>
      </c>
      <c r="AK50" s="28" t="n">
        <f aca="false">ROUND($F50*$AJ50,0)</f>
        <v>371</v>
      </c>
      <c r="AL50" s="25" t="str">
        <f aca="false">IF(AND($F50=0,$T50&gt;0,$O50=0),"QUIEBRE Y SIN STOCK PARA ENVIAR",IF(AND($F50=0,$T50&gt;0),"QUIEBRE",IF($F50=0,"SIN STOCK SIN DEMANDA",IF(AND($AF50&gt;0,$AG50&lt;&gt;"",OR($AB50="",$AB50&gt;$AG50)),"STOCK VIEJO EN RIESGO",IF(AND($T50=0,$H50=0),"SIN ROTACION",IF($AB50="","-",IF($AB50&lt;14,"REPONER",IF($AB50&gt;84,"SOBRE-STOCK","EN RANGO"))))))))</f>
        <v>REPONER</v>
      </c>
    </row>
    <row r="51" customFormat="false" ht="15" hidden="false" customHeight="false" outlineLevel="0" collapsed="false">
      <c r="A51" s="4" t="s">
        <v>94</v>
      </c>
      <c r="B51" s="23" t="s">
        <v>276</v>
      </c>
      <c r="C51" s="23" t="s">
        <v>277</v>
      </c>
      <c r="D51" s="23" t="s">
        <v>278</v>
      </c>
      <c r="E51" s="23" t="s">
        <v>279</v>
      </c>
      <c r="F51" s="23" t="n">
        <v>0</v>
      </c>
      <c r="G51" s="23" t="n">
        <v>0</v>
      </c>
      <c r="H51" s="23" t="n">
        <v>0</v>
      </c>
      <c r="I51" s="24" t="n">
        <f aca="false">ROUND($H51/30,2)</f>
        <v>0</v>
      </c>
      <c r="J51" s="25" t="n">
        <f aca="false">IF($Z51="CENSURADO",ROUND($T51/MAX($V51,3),2),ROUND($T51/$G$3,2))</f>
        <v>0.94</v>
      </c>
      <c r="K51" s="24" t="n">
        <f aca="false">ROUNDUP($J51*$C$3*7,0)</f>
        <v>20</v>
      </c>
      <c r="L51" s="24" t="n">
        <f aca="false">MAX(0,$K51-$F51-$G51)</f>
        <v>20</v>
      </c>
      <c r="M51" s="23" t="n">
        <v>0</v>
      </c>
      <c r="N51" s="23" t="n">
        <v>0</v>
      </c>
      <c r="O51" s="24" t="n">
        <f aca="false">$M51+$N51</f>
        <v>0</v>
      </c>
      <c r="P51" s="25" t="n">
        <f aca="false">MIN($L51,$O51)</f>
        <v>0</v>
      </c>
      <c r="Q51" s="23" t="s">
        <v>99</v>
      </c>
      <c r="R51" s="23" t="n">
        <v>1</v>
      </c>
      <c r="S51" s="23" t="s">
        <v>133</v>
      </c>
      <c r="T51" s="23" t="n">
        <v>16</v>
      </c>
      <c r="U51" s="23" t="n">
        <v>6</v>
      </c>
      <c r="V51" s="23" t="n">
        <v>17</v>
      </c>
      <c r="W51" s="23" t="n">
        <v>9</v>
      </c>
      <c r="X51" s="23" t="n">
        <v>0</v>
      </c>
      <c r="Y51" s="24" t="str">
        <f aca="false">IF($X51=0,"",ROUND($H51/$X51,2))</f>
        <v/>
      </c>
      <c r="Z51" s="24" t="str">
        <f aca="false">IF(AND($F51=0,$T51&gt;=5,$W51&gt;=3),"CENSURADO",IF(AND($Y51&lt;&gt;"",$Y51&gt;=3,$T51&gt;=10),"CENSURADO",IF($T51=0,"SIN DATO","CONFIABLE")))</f>
        <v>CENSURADO</v>
      </c>
      <c r="AA51" s="24" t="str">
        <f aca="false">IF($I51=0,"",ROUND($J51/MAX($I51,0.01),2))</f>
        <v/>
      </c>
      <c r="AB51" s="24" t="n">
        <f aca="false">IF($J51&lt;=0,"",ROUND(($F51+$G51)/$J51,0))</f>
        <v>0</v>
      </c>
      <c r="AC51" s="26" t="n">
        <f aca="false">IF($AB51="","",$J$3+$AB51)</f>
        <v>46245</v>
      </c>
      <c r="AD51" s="23" t="n">
        <v>0</v>
      </c>
      <c r="AE51" s="23" t="n">
        <v>0</v>
      </c>
      <c r="AF51" s="23" t="n">
        <v>0</v>
      </c>
      <c r="AG51" s="24" t="str">
        <f aca="false">IF($AF51=0,"",MAX(0,180-$AE51))</f>
        <v/>
      </c>
      <c r="AH51" s="27" t="n">
        <v>0</v>
      </c>
      <c r="AI51" s="28" t="str">
        <f aca="false">IF($AF51=0,"",$AF51*$Q$3-$AF51*$N$3)</f>
        <v/>
      </c>
      <c r="AJ51" s="23" t="n">
        <v>0</v>
      </c>
      <c r="AK51" s="28" t="n">
        <f aca="false">ROUND($F51*$AJ51,0)</f>
        <v>0</v>
      </c>
      <c r="AL51" s="25" t="str">
        <f aca="false">IF(AND($F51=0,$T51&gt;0,$O51=0),"QUIEBRE Y SIN STOCK PARA ENVIAR",IF(AND($F51=0,$T51&gt;0),"QUIEBRE",IF($F51=0,"SIN STOCK SIN DEMANDA",IF(AND($AF51&gt;0,$AG51&lt;&gt;"",OR($AB51="",$AB51&gt;$AG51)),"STOCK VIEJO EN RIESGO",IF(AND($T51=0,$H51=0),"SIN ROTACION",IF($AB51="","-",IF($AB51&lt;14,"REPONER",IF($AB51&gt;84,"SOBRE-STOCK","EN RANGO"))))))))</f>
        <v>QUIEBRE Y SIN STOCK PARA ENVIAR</v>
      </c>
    </row>
    <row r="52" customFormat="false" ht="15" hidden="false" customHeight="false" outlineLevel="0" collapsed="false">
      <c r="A52" s="4" t="s">
        <v>94</v>
      </c>
      <c r="B52" s="23" t="s">
        <v>280</v>
      </c>
      <c r="C52" s="23" t="s">
        <v>281</v>
      </c>
      <c r="D52" s="23" t="s">
        <v>282</v>
      </c>
      <c r="E52" s="23" t="s">
        <v>283</v>
      </c>
      <c r="F52" s="23" t="n">
        <v>7</v>
      </c>
      <c r="G52" s="23" t="n">
        <v>10</v>
      </c>
      <c r="H52" s="23" t="n">
        <v>13</v>
      </c>
      <c r="I52" s="24" t="n">
        <f aca="false">ROUND($H52/30,2)</f>
        <v>0.43</v>
      </c>
      <c r="J52" s="25" t="n">
        <f aca="false">IF($Z52="CENSURADO",ROUND($T52/MAX($V52,3),2),ROUND($T52/$G$3,2))</f>
        <v>0.5</v>
      </c>
      <c r="K52" s="24" t="n">
        <f aca="false">ROUNDUP($J52*$C$3*7,0)</f>
        <v>11</v>
      </c>
      <c r="L52" s="24" t="n">
        <f aca="false">MAX(0,$K52-$F52-$G52)</f>
        <v>0</v>
      </c>
      <c r="M52" s="23" t="n">
        <v>1486</v>
      </c>
      <c r="N52" s="23" t="n">
        <v>157</v>
      </c>
      <c r="O52" s="24" t="n">
        <f aca="false">$M52+$N52</f>
        <v>1643</v>
      </c>
      <c r="P52" s="25" t="n">
        <f aca="false">MIN($L52,$O52)</f>
        <v>0</v>
      </c>
      <c r="Q52" s="23" t="s">
        <v>99</v>
      </c>
      <c r="R52" s="23" t="n">
        <v>1</v>
      </c>
      <c r="S52" s="23" t="s">
        <v>100</v>
      </c>
      <c r="T52" s="23" t="n">
        <v>16</v>
      </c>
      <c r="U52" s="23" t="n">
        <v>8</v>
      </c>
      <c r="V52" s="23" t="n">
        <v>22</v>
      </c>
      <c r="W52" s="23" t="n">
        <v>8</v>
      </c>
      <c r="X52" s="23" t="n">
        <v>12</v>
      </c>
      <c r="Y52" s="24" t="n">
        <f aca="false">IF($X52=0,"",ROUND($H52/$X52,2))</f>
        <v>1.08</v>
      </c>
      <c r="Z52" s="24" t="str">
        <f aca="false">IF(AND($F52=0,$T52&gt;=5,$W52&gt;=3),"CENSURADO",IF(AND($Y52&lt;&gt;"",$Y52&gt;=3,$T52&gt;=10),"CENSURADO",IF($T52=0,"SIN DATO","CONFIABLE")))</f>
        <v>CONFIABLE</v>
      </c>
      <c r="AA52" s="24" t="n">
        <f aca="false">IF($I52=0,"",ROUND($J52/MAX($I52,0.01),2))</f>
        <v>1.16</v>
      </c>
      <c r="AB52" s="24" t="n">
        <f aca="false">IF($J52&lt;=0,"",ROUND(($F52+$G52)/$J52,0))</f>
        <v>34</v>
      </c>
      <c r="AC52" s="26" t="n">
        <f aca="false">IF($AB52="","",$J$3+$AB52)</f>
        <v>46279</v>
      </c>
      <c r="AD52" s="23" t="n">
        <v>0</v>
      </c>
      <c r="AE52" s="23" t="n">
        <v>0</v>
      </c>
      <c r="AF52" s="23" t="n">
        <v>0</v>
      </c>
      <c r="AG52" s="24" t="str">
        <f aca="false">IF($AF52=0,"",MAX(0,180-$AE52))</f>
        <v/>
      </c>
      <c r="AH52" s="27" t="n">
        <v>0</v>
      </c>
      <c r="AI52" s="28" t="str">
        <f aca="false">IF($AF52=0,"",$AF52*$Q$3-$AF52*$N$3)</f>
        <v/>
      </c>
      <c r="AJ52" s="23" t="n">
        <v>14.53</v>
      </c>
      <c r="AK52" s="28" t="n">
        <f aca="false">ROUND($F52*$AJ52,0)</f>
        <v>102</v>
      </c>
      <c r="AL52" s="25" t="str">
        <f aca="false">IF(AND($F52=0,$T52&gt;0,$O52=0),"QUIEBRE Y SIN STOCK PARA ENVIAR",IF(AND($F52=0,$T52&gt;0),"QUIEBRE",IF($F52=0,"SIN STOCK SIN DEMANDA",IF(AND($AF52&gt;0,$AG52&lt;&gt;"",OR($AB52="",$AB52&gt;$AG52)),"STOCK VIEJO EN RIESGO",IF(AND($T52=0,$H52=0),"SIN ROTACION",IF($AB52="","-",IF($AB52&lt;14,"REPONER",IF($AB52&gt;84,"SOBRE-STOCK","EN RANGO"))))))))</f>
        <v>EN RANGO</v>
      </c>
    </row>
    <row r="53" customFormat="false" ht="15" hidden="false" customHeight="false" outlineLevel="0" collapsed="false">
      <c r="A53" s="4" t="s">
        <v>94</v>
      </c>
      <c r="B53" s="23" t="s">
        <v>284</v>
      </c>
      <c r="C53" s="23" t="s">
        <v>285</v>
      </c>
      <c r="D53" s="23" t="s">
        <v>286</v>
      </c>
      <c r="E53" s="23" t="s">
        <v>287</v>
      </c>
      <c r="F53" s="23" t="n">
        <v>0</v>
      </c>
      <c r="G53" s="23" t="n">
        <v>0</v>
      </c>
      <c r="H53" s="23" t="n">
        <v>5</v>
      </c>
      <c r="I53" s="24" t="n">
        <f aca="false">ROUND($H53/30,2)</f>
        <v>0.17</v>
      </c>
      <c r="J53" s="25" t="n">
        <f aca="false">IF($Z53="CENSURADO",ROUND($T53/MAX($V53,3),2),ROUND($T53/$G$3,2))</f>
        <v>0.54</v>
      </c>
      <c r="K53" s="24" t="n">
        <f aca="false">ROUNDUP($J53*$C$3*7,0)</f>
        <v>12</v>
      </c>
      <c r="L53" s="24" t="n">
        <f aca="false">MAX(0,$K53-$F53-$G53)</f>
        <v>12</v>
      </c>
      <c r="M53" s="23" t="n">
        <v>16248</v>
      </c>
      <c r="N53" s="23" t="n">
        <v>1525</v>
      </c>
      <c r="O53" s="24" t="n">
        <f aca="false">$M53+$N53</f>
        <v>17773</v>
      </c>
      <c r="P53" s="25" t="n">
        <f aca="false">MIN($L53,$O53)</f>
        <v>12</v>
      </c>
      <c r="Q53" s="23" t="s">
        <v>99</v>
      </c>
      <c r="R53" s="23" t="n">
        <v>3</v>
      </c>
      <c r="S53" s="23" t="s">
        <v>100</v>
      </c>
      <c r="T53" s="23" t="n">
        <v>14</v>
      </c>
      <c r="U53" s="23" t="n">
        <v>7</v>
      </c>
      <c r="V53" s="23" t="n">
        <v>26</v>
      </c>
      <c r="W53" s="23" t="n">
        <v>3</v>
      </c>
      <c r="X53" s="23" t="n">
        <v>1</v>
      </c>
      <c r="Y53" s="24" t="n">
        <f aca="false">IF($X53=0,"",ROUND($H53/$X53,2))</f>
        <v>5</v>
      </c>
      <c r="Z53" s="24" t="str">
        <f aca="false">IF(AND($F53=0,$T53&gt;=5,$W53&gt;=3),"CENSURADO",IF(AND($Y53&lt;&gt;"",$Y53&gt;=3,$T53&gt;=10),"CENSURADO",IF($T53=0,"SIN DATO","CONFIABLE")))</f>
        <v>CENSURADO</v>
      </c>
      <c r="AA53" s="24" t="n">
        <f aca="false">IF($I53=0,"",ROUND($J53/MAX($I53,0.01),2))</f>
        <v>3.18</v>
      </c>
      <c r="AB53" s="24" t="n">
        <f aca="false">IF($J53&lt;=0,"",ROUND(($F53+$G53)/$J53,0))</f>
        <v>0</v>
      </c>
      <c r="AC53" s="26" t="n">
        <f aca="false">IF($AB53="","",$J$3+$AB53)</f>
        <v>46245</v>
      </c>
      <c r="AD53" s="23" t="n">
        <v>0</v>
      </c>
      <c r="AE53" s="23" t="n">
        <v>0</v>
      </c>
      <c r="AF53" s="23" t="n">
        <v>0</v>
      </c>
      <c r="AG53" s="24" t="str">
        <f aca="false">IF($AF53=0,"",MAX(0,180-$AE53))</f>
        <v/>
      </c>
      <c r="AH53" s="27" t="n">
        <v>0</v>
      </c>
      <c r="AI53" s="28" t="str">
        <f aca="false">IF($AF53=0,"",$AF53*$Q$3-$AF53*$N$3)</f>
        <v/>
      </c>
      <c r="AJ53" s="23" t="n">
        <v>2.09</v>
      </c>
      <c r="AK53" s="28" t="n">
        <f aca="false">ROUND($F53*$AJ53,0)</f>
        <v>0</v>
      </c>
      <c r="AL53" s="25" t="str">
        <f aca="false">IF(AND($F53=0,$T53&gt;0,$O53=0),"QUIEBRE Y SIN STOCK PARA ENVIAR",IF(AND($F53=0,$T53&gt;0),"QUIEBRE",IF($F53=0,"SIN STOCK SIN DEMANDA",IF(AND($AF53&gt;0,$AG53&lt;&gt;"",OR($AB53="",$AB53&gt;$AG53)),"STOCK VIEJO EN RIESGO",IF(AND($T53=0,$H53=0),"SIN ROTACION",IF($AB53="","-",IF($AB53&lt;14,"REPONER",IF($AB53&gt;84,"SOBRE-STOCK","EN RANGO"))))))))</f>
        <v>QUIEBRE</v>
      </c>
    </row>
    <row r="54" customFormat="false" ht="15" hidden="false" customHeight="false" outlineLevel="0" collapsed="false">
      <c r="A54" s="4" t="s">
        <v>94</v>
      </c>
      <c r="B54" s="23" t="s">
        <v>288</v>
      </c>
      <c r="C54" s="23" t="s">
        <v>289</v>
      </c>
      <c r="D54" s="23" t="s">
        <v>290</v>
      </c>
      <c r="E54" s="23" t="s">
        <v>291</v>
      </c>
      <c r="F54" s="23" t="n">
        <v>15</v>
      </c>
      <c r="G54" s="23" t="n">
        <v>0</v>
      </c>
      <c r="H54" s="23" t="n">
        <v>5</v>
      </c>
      <c r="I54" s="24" t="n">
        <f aca="false">ROUND($H54/30,2)</f>
        <v>0.17</v>
      </c>
      <c r="J54" s="25" t="n">
        <f aca="false">IF($Z54="CENSURADO",ROUND($T54/MAX($V54,3),2),ROUND($T54/$G$3,2))</f>
        <v>0.44</v>
      </c>
      <c r="K54" s="24" t="n">
        <f aca="false">ROUNDUP($J54*$C$3*7,0)</f>
        <v>10</v>
      </c>
      <c r="L54" s="24" t="n">
        <f aca="false">MAX(0,$K54-$F54-$G54)</f>
        <v>0</v>
      </c>
      <c r="M54" s="23" t="n">
        <v>269</v>
      </c>
      <c r="N54" s="23" t="n">
        <v>480</v>
      </c>
      <c r="O54" s="24" t="n">
        <f aca="false">$M54+$N54</f>
        <v>749</v>
      </c>
      <c r="P54" s="25" t="n">
        <f aca="false">MIN($L54,$O54)</f>
        <v>0</v>
      </c>
      <c r="Q54" s="23" t="s">
        <v>99</v>
      </c>
      <c r="R54" s="23" t="n">
        <v>1</v>
      </c>
      <c r="S54" s="23" t="s">
        <v>100</v>
      </c>
      <c r="T54" s="23" t="n">
        <v>14</v>
      </c>
      <c r="U54" s="23" t="n">
        <v>9</v>
      </c>
      <c r="V54" s="23" t="n">
        <v>23</v>
      </c>
      <c r="W54" s="23" t="n">
        <v>1</v>
      </c>
      <c r="X54" s="23" t="n">
        <v>17</v>
      </c>
      <c r="Y54" s="24" t="n">
        <f aca="false">IF($X54=0,"",ROUND($H54/$X54,2))</f>
        <v>0.29</v>
      </c>
      <c r="Z54" s="24" t="str">
        <f aca="false">IF(AND($F54=0,$T54&gt;=5,$W54&gt;=3),"CENSURADO",IF(AND($Y54&lt;&gt;"",$Y54&gt;=3,$T54&gt;=10),"CENSURADO",IF($T54=0,"SIN DATO","CONFIABLE")))</f>
        <v>CONFIABLE</v>
      </c>
      <c r="AA54" s="24" t="n">
        <f aca="false">IF($I54=0,"",ROUND($J54/MAX($I54,0.01),2))</f>
        <v>2.59</v>
      </c>
      <c r="AB54" s="24" t="n">
        <f aca="false">IF($J54&lt;=0,"",ROUND(($F54+$G54)/$J54,0))</f>
        <v>34</v>
      </c>
      <c r="AC54" s="26" t="n">
        <f aca="false">IF($AB54="","",$J$3+$AB54)</f>
        <v>46279</v>
      </c>
      <c r="AD54" s="23" t="n">
        <v>0</v>
      </c>
      <c r="AE54" s="23" t="n">
        <v>0</v>
      </c>
      <c r="AF54" s="23" t="n">
        <v>0</v>
      </c>
      <c r="AG54" s="24" t="str">
        <f aca="false">IF($AF54=0,"",MAX(0,180-$AE54))</f>
        <v/>
      </c>
      <c r="AH54" s="27" t="n">
        <v>0</v>
      </c>
      <c r="AI54" s="28" t="str">
        <f aca="false">IF($AF54=0,"",$AF54*$Q$3-$AF54*$N$3)</f>
        <v/>
      </c>
      <c r="AJ54" s="23" t="n">
        <v>7.87</v>
      </c>
      <c r="AK54" s="28" t="n">
        <f aca="false">ROUND($F54*$AJ54,0)</f>
        <v>118</v>
      </c>
      <c r="AL54" s="25" t="str">
        <f aca="false">IF(AND($F54=0,$T54&gt;0,$O54=0),"QUIEBRE Y SIN STOCK PARA ENVIAR",IF(AND($F54=0,$T54&gt;0),"QUIEBRE",IF($F54=0,"SIN STOCK SIN DEMANDA",IF(AND($AF54&gt;0,$AG54&lt;&gt;"",OR($AB54="",$AB54&gt;$AG54)),"STOCK VIEJO EN RIESGO",IF(AND($T54=0,$H54=0),"SIN ROTACION",IF($AB54="","-",IF($AB54&lt;14,"REPONER",IF($AB54&gt;84,"SOBRE-STOCK","EN RANGO"))))))))</f>
        <v>EN RANGO</v>
      </c>
    </row>
    <row r="55" customFormat="false" ht="15" hidden="false" customHeight="false" outlineLevel="0" collapsed="false">
      <c r="A55" s="4" t="s">
        <v>94</v>
      </c>
      <c r="B55" s="23" t="s">
        <v>292</v>
      </c>
      <c r="C55" s="23" t="s">
        <v>293</v>
      </c>
      <c r="D55" s="23" t="s">
        <v>294</v>
      </c>
      <c r="E55" s="23" t="s">
        <v>295</v>
      </c>
      <c r="F55" s="23" t="n">
        <v>19</v>
      </c>
      <c r="G55" s="23" t="n">
        <v>10</v>
      </c>
      <c r="H55" s="23" t="n">
        <v>8</v>
      </c>
      <c r="I55" s="24" t="n">
        <f aca="false">ROUND($H55/30,2)</f>
        <v>0.27</v>
      </c>
      <c r="J55" s="25" t="n">
        <f aca="false">IF($Z55="CENSURADO",ROUND($T55/MAX($V55,3),2),ROUND($T55/$G$3,2))</f>
        <v>0.44</v>
      </c>
      <c r="K55" s="24" t="n">
        <f aca="false">ROUNDUP($J55*$C$3*7,0)</f>
        <v>10</v>
      </c>
      <c r="L55" s="24" t="n">
        <f aca="false">MAX(0,$K55-$F55-$G55)</f>
        <v>0</v>
      </c>
      <c r="M55" s="23" t="n">
        <v>625</v>
      </c>
      <c r="N55" s="23" t="n">
        <v>5</v>
      </c>
      <c r="O55" s="24" t="n">
        <f aca="false">$M55+$N55</f>
        <v>630</v>
      </c>
      <c r="P55" s="25" t="n">
        <f aca="false">MIN($L55,$O55)</f>
        <v>0</v>
      </c>
      <c r="Q55" s="23" t="s">
        <v>99</v>
      </c>
      <c r="R55" s="23" t="n">
        <v>1</v>
      </c>
      <c r="S55" s="23" t="s">
        <v>100</v>
      </c>
      <c r="T55" s="23" t="n">
        <v>14</v>
      </c>
      <c r="U55" s="23" t="n">
        <v>12</v>
      </c>
      <c r="V55" s="23" t="n">
        <v>25</v>
      </c>
      <c r="W55" s="23" t="n">
        <v>2</v>
      </c>
      <c r="X55" s="23" t="n">
        <v>23</v>
      </c>
      <c r="Y55" s="24" t="n">
        <f aca="false">IF($X55=0,"",ROUND($H55/$X55,2))</f>
        <v>0.35</v>
      </c>
      <c r="Z55" s="24" t="str">
        <f aca="false">IF(AND($F55=0,$T55&gt;=5,$W55&gt;=3),"CENSURADO",IF(AND($Y55&lt;&gt;"",$Y55&gt;=3,$T55&gt;=10),"CENSURADO",IF($T55=0,"SIN DATO","CONFIABLE")))</f>
        <v>CONFIABLE</v>
      </c>
      <c r="AA55" s="24" t="n">
        <f aca="false">IF($I55=0,"",ROUND($J55/MAX($I55,0.01),2))</f>
        <v>1.63</v>
      </c>
      <c r="AB55" s="24" t="n">
        <f aca="false">IF($J55&lt;=0,"",ROUND(($F55+$G55)/$J55,0))</f>
        <v>66</v>
      </c>
      <c r="AC55" s="26" t="n">
        <f aca="false">IF($AB55="","",$J$3+$AB55)</f>
        <v>46311</v>
      </c>
      <c r="AD55" s="23" t="n">
        <v>0</v>
      </c>
      <c r="AE55" s="23" t="n">
        <v>0</v>
      </c>
      <c r="AF55" s="23" t="n">
        <v>0</v>
      </c>
      <c r="AG55" s="24" t="str">
        <f aca="false">IF($AF55=0,"",MAX(0,180-$AE55))</f>
        <v/>
      </c>
      <c r="AH55" s="27" t="n">
        <v>0</v>
      </c>
      <c r="AI55" s="28" t="str">
        <f aca="false">IF($AF55=0,"",$AF55*$Q$3-$AF55*$N$3)</f>
        <v/>
      </c>
      <c r="AJ55" s="23" t="n">
        <v>4.76</v>
      </c>
      <c r="AK55" s="28" t="n">
        <f aca="false">ROUND($F55*$AJ55,0)</f>
        <v>90</v>
      </c>
      <c r="AL55" s="25" t="str">
        <f aca="false">IF(AND($F55=0,$T55&gt;0,$O55=0),"QUIEBRE Y SIN STOCK PARA ENVIAR",IF(AND($F55=0,$T55&gt;0),"QUIEBRE",IF($F55=0,"SIN STOCK SIN DEMANDA",IF(AND($AF55&gt;0,$AG55&lt;&gt;"",OR($AB55="",$AB55&gt;$AG55)),"STOCK VIEJO EN RIESGO",IF(AND($T55=0,$H55=0),"SIN ROTACION",IF($AB55="","-",IF($AB55&lt;14,"REPONER",IF($AB55&gt;84,"SOBRE-STOCK","EN RANGO"))))))))</f>
        <v>EN RANGO</v>
      </c>
    </row>
    <row r="56" customFormat="false" ht="15" hidden="false" customHeight="false" outlineLevel="0" collapsed="false">
      <c r="A56" s="4" t="s">
        <v>94</v>
      </c>
      <c r="B56" s="23" t="s">
        <v>296</v>
      </c>
      <c r="C56" s="23" t="s">
        <v>297</v>
      </c>
      <c r="D56" s="23" t="s">
        <v>298</v>
      </c>
      <c r="E56" s="23" t="s">
        <v>299</v>
      </c>
      <c r="F56" s="23" t="n">
        <v>6</v>
      </c>
      <c r="G56" s="23" t="n">
        <v>0</v>
      </c>
      <c r="H56" s="23" t="n">
        <v>12</v>
      </c>
      <c r="I56" s="24" t="n">
        <f aca="false">ROUND($H56/30,2)</f>
        <v>0.4</v>
      </c>
      <c r="J56" s="25" t="n">
        <f aca="false">IF($Z56="CENSURADO",ROUND($T56/MAX($V56,3),2),ROUND($T56/$G$3,2))</f>
        <v>0.44</v>
      </c>
      <c r="K56" s="24" t="n">
        <f aca="false">ROUNDUP($J56*$C$3*7,0)</f>
        <v>10</v>
      </c>
      <c r="L56" s="24" t="n">
        <f aca="false">MAX(0,$K56-$F56-$G56)</f>
        <v>4</v>
      </c>
      <c r="M56" s="23" t="n">
        <v>409</v>
      </c>
      <c r="N56" s="23" t="n">
        <v>42</v>
      </c>
      <c r="O56" s="24" t="n">
        <f aca="false">$M56+$N56</f>
        <v>451</v>
      </c>
      <c r="P56" s="25" t="n">
        <f aca="false">MIN($L56,$O56)</f>
        <v>4</v>
      </c>
      <c r="Q56" s="23" t="s">
        <v>99</v>
      </c>
      <c r="R56" s="23" t="n">
        <v>1</v>
      </c>
      <c r="S56" s="23" t="s">
        <v>133</v>
      </c>
      <c r="T56" s="23" t="n">
        <v>14</v>
      </c>
      <c r="U56" s="23" t="n">
        <v>9</v>
      </c>
      <c r="V56" s="23" t="n">
        <v>29</v>
      </c>
      <c r="W56" s="23" t="n">
        <v>3</v>
      </c>
      <c r="X56" s="23" t="n">
        <v>10</v>
      </c>
      <c r="Y56" s="24" t="n">
        <f aca="false">IF($X56=0,"",ROUND($H56/$X56,2))</f>
        <v>1.2</v>
      </c>
      <c r="Z56" s="24" t="str">
        <f aca="false">IF(AND($F56=0,$T56&gt;=5,$W56&gt;=3),"CENSURADO",IF(AND($Y56&lt;&gt;"",$Y56&gt;=3,$T56&gt;=10),"CENSURADO",IF($T56=0,"SIN DATO","CONFIABLE")))</f>
        <v>CONFIABLE</v>
      </c>
      <c r="AA56" s="24" t="n">
        <f aca="false">IF($I56=0,"",ROUND($J56/MAX($I56,0.01),2))</f>
        <v>1.1</v>
      </c>
      <c r="AB56" s="24" t="n">
        <f aca="false">IF($J56&lt;=0,"",ROUND(($F56+$G56)/$J56,0))</f>
        <v>14</v>
      </c>
      <c r="AC56" s="26" t="n">
        <f aca="false">IF($AB56="","",$J$3+$AB56)</f>
        <v>46259</v>
      </c>
      <c r="AD56" s="23" t="n">
        <v>0</v>
      </c>
      <c r="AE56" s="23" t="n">
        <v>0</v>
      </c>
      <c r="AF56" s="23" t="n">
        <v>0</v>
      </c>
      <c r="AG56" s="24" t="str">
        <f aca="false">IF($AF56=0,"",MAX(0,180-$AE56))</f>
        <v/>
      </c>
      <c r="AH56" s="27" t="n">
        <v>0</v>
      </c>
      <c r="AI56" s="28" t="str">
        <f aca="false">IF($AF56=0,"",$AF56*$Q$3-$AF56*$N$3)</f>
        <v/>
      </c>
      <c r="AJ56" s="23" t="n">
        <v>0</v>
      </c>
      <c r="AK56" s="28" t="n">
        <f aca="false">ROUND($F56*$AJ56,0)</f>
        <v>0</v>
      </c>
      <c r="AL56" s="25" t="str">
        <f aca="false">IF(AND($F56=0,$T56&gt;0,$O56=0),"QUIEBRE Y SIN STOCK PARA ENVIAR",IF(AND($F56=0,$T56&gt;0),"QUIEBRE",IF($F56=0,"SIN STOCK SIN DEMANDA",IF(AND($AF56&gt;0,$AG56&lt;&gt;"",OR($AB56="",$AB56&gt;$AG56)),"STOCK VIEJO EN RIESGO",IF(AND($T56=0,$H56=0),"SIN ROTACION",IF($AB56="","-",IF($AB56&lt;14,"REPONER",IF($AB56&gt;84,"SOBRE-STOCK","EN RANGO"))))))))</f>
        <v>EN RANGO</v>
      </c>
    </row>
    <row r="57" customFormat="false" ht="15" hidden="false" customHeight="false" outlineLevel="0" collapsed="false">
      <c r="A57" s="4" t="s">
        <v>94</v>
      </c>
      <c r="B57" s="23" t="s">
        <v>300</v>
      </c>
      <c r="C57" s="23" t="s">
        <v>301</v>
      </c>
      <c r="D57" s="23" t="s">
        <v>302</v>
      </c>
      <c r="E57" s="23" t="s">
        <v>303</v>
      </c>
      <c r="F57" s="23" t="n">
        <v>0</v>
      </c>
      <c r="G57" s="23" t="n">
        <v>10</v>
      </c>
      <c r="H57" s="23" t="n">
        <v>8</v>
      </c>
      <c r="I57" s="24" t="n">
        <f aca="false">ROUND($H57/30,2)</f>
        <v>0.27</v>
      </c>
      <c r="J57" s="25" t="n">
        <f aca="false">IF($Z57="CENSURADO",ROUND($T57/MAX($V57,3),2),ROUND($T57/$G$3,2))</f>
        <v>0.81</v>
      </c>
      <c r="K57" s="24" t="n">
        <f aca="false">ROUNDUP($J57*$C$3*7,0)</f>
        <v>18</v>
      </c>
      <c r="L57" s="24" t="n">
        <f aca="false">MAX(0,$K57-$F57-$G57)</f>
        <v>8</v>
      </c>
      <c r="M57" s="23" t="n">
        <v>540</v>
      </c>
      <c r="N57" s="23" t="n">
        <v>15</v>
      </c>
      <c r="O57" s="24" t="n">
        <f aca="false">$M57+$N57</f>
        <v>555</v>
      </c>
      <c r="P57" s="25" t="n">
        <f aca="false">MIN($L57,$O57)</f>
        <v>8</v>
      </c>
      <c r="Q57" s="23" t="s">
        <v>99</v>
      </c>
      <c r="R57" s="23" t="n">
        <v>1</v>
      </c>
      <c r="S57" s="23" t="s">
        <v>133</v>
      </c>
      <c r="T57" s="23" t="n">
        <v>13</v>
      </c>
      <c r="U57" s="23" t="n">
        <v>9</v>
      </c>
      <c r="V57" s="23" t="n">
        <v>16</v>
      </c>
      <c r="W57" s="23" t="n">
        <v>15</v>
      </c>
      <c r="X57" s="23" t="n">
        <v>1</v>
      </c>
      <c r="Y57" s="24" t="n">
        <f aca="false">IF($X57=0,"",ROUND($H57/$X57,2))</f>
        <v>8</v>
      </c>
      <c r="Z57" s="24" t="str">
        <f aca="false">IF(AND($F57=0,$T57&gt;=5,$W57&gt;=3),"CENSURADO",IF(AND($Y57&lt;&gt;"",$Y57&gt;=3,$T57&gt;=10),"CENSURADO",IF($T57=0,"SIN DATO","CONFIABLE")))</f>
        <v>CENSURADO</v>
      </c>
      <c r="AA57" s="24" t="n">
        <f aca="false">IF($I57=0,"",ROUND($J57/MAX($I57,0.01),2))</f>
        <v>3</v>
      </c>
      <c r="AB57" s="24" t="n">
        <f aca="false">IF($J57&lt;=0,"",ROUND(($F57+$G57)/$J57,0))</f>
        <v>12</v>
      </c>
      <c r="AC57" s="26" t="n">
        <f aca="false">IF($AB57="","",$J$3+$AB57)</f>
        <v>46257</v>
      </c>
      <c r="AD57" s="23" t="n">
        <v>0</v>
      </c>
      <c r="AE57" s="23" t="n">
        <v>0</v>
      </c>
      <c r="AF57" s="23" t="n">
        <v>0</v>
      </c>
      <c r="AG57" s="24" t="str">
        <f aca="false">IF($AF57=0,"",MAX(0,180-$AE57))</f>
        <v/>
      </c>
      <c r="AH57" s="27" t="n">
        <v>0</v>
      </c>
      <c r="AI57" s="28" t="str">
        <f aca="false">IF($AF57=0,"",$AF57*$Q$3-$AF57*$N$3)</f>
        <v/>
      </c>
      <c r="AJ57" s="23" t="n">
        <v>0</v>
      </c>
      <c r="AK57" s="28" t="n">
        <f aca="false">ROUND($F57*$AJ57,0)</f>
        <v>0</v>
      </c>
      <c r="AL57" s="25" t="str">
        <f aca="false">IF(AND($F57=0,$T57&gt;0,$O57=0),"QUIEBRE Y SIN STOCK PARA ENVIAR",IF(AND($F57=0,$T57&gt;0),"QUIEBRE",IF($F57=0,"SIN STOCK SIN DEMANDA",IF(AND($AF57&gt;0,$AG57&lt;&gt;"",OR($AB57="",$AB57&gt;$AG57)),"STOCK VIEJO EN RIESGO",IF(AND($T57=0,$H57=0),"SIN ROTACION",IF($AB57="","-",IF($AB57&lt;14,"REPONER",IF($AB57&gt;84,"SOBRE-STOCK","EN RANGO"))))))))</f>
        <v>QUIEBRE</v>
      </c>
    </row>
    <row r="58" customFormat="false" ht="15" hidden="false" customHeight="false" outlineLevel="0" collapsed="false">
      <c r="A58" s="4" t="s">
        <v>94</v>
      </c>
      <c r="B58" s="23" t="s">
        <v>304</v>
      </c>
      <c r="C58" s="23" t="s">
        <v>305</v>
      </c>
      <c r="D58" s="23" t="s">
        <v>306</v>
      </c>
      <c r="E58" s="23" t="s">
        <v>307</v>
      </c>
      <c r="F58" s="23" t="n">
        <v>42</v>
      </c>
      <c r="G58" s="23" t="n">
        <v>0</v>
      </c>
      <c r="H58" s="23" t="n">
        <v>7</v>
      </c>
      <c r="I58" s="24" t="n">
        <f aca="false">ROUND($H58/30,2)</f>
        <v>0.23</v>
      </c>
      <c r="J58" s="25" t="n">
        <f aca="false">IF($Z58="CENSURADO",ROUND($T58/MAX($V58,3),2),ROUND($T58/$G$3,2))</f>
        <v>0.41</v>
      </c>
      <c r="K58" s="24" t="n">
        <f aca="false">ROUNDUP($J58*$C$3*7,0)</f>
        <v>9</v>
      </c>
      <c r="L58" s="24" t="n">
        <f aca="false">MAX(0,$K58-$F58-$G58)</f>
        <v>0</v>
      </c>
      <c r="M58" s="23" t="n">
        <v>4532</v>
      </c>
      <c r="N58" s="23" t="n">
        <v>182</v>
      </c>
      <c r="O58" s="24" t="n">
        <f aca="false">$M58+$N58</f>
        <v>4714</v>
      </c>
      <c r="P58" s="25" t="n">
        <f aca="false">MIN($L58,$O58)</f>
        <v>0</v>
      </c>
      <c r="Q58" s="23" t="s">
        <v>99</v>
      </c>
      <c r="R58" s="23" t="n">
        <v>2</v>
      </c>
      <c r="S58" s="23" t="s">
        <v>211</v>
      </c>
      <c r="T58" s="23" t="n">
        <v>13</v>
      </c>
      <c r="U58" s="23" t="n">
        <v>9</v>
      </c>
      <c r="V58" s="23" t="n">
        <v>29</v>
      </c>
      <c r="W58" s="23" t="n">
        <v>1</v>
      </c>
      <c r="X58" s="23" t="n">
        <v>46</v>
      </c>
      <c r="Y58" s="24" t="n">
        <f aca="false">IF($X58=0,"",ROUND($H58/$X58,2))</f>
        <v>0.15</v>
      </c>
      <c r="Z58" s="24" t="str">
        <f aca="false">IF(AND($F58=0,$T58&gt;=5,$W58&gt;=3),"CENSURADO",IF(AND($Y58&lt;&gt;"",$Y58&gt;=3,$T58&gt;=10),"CENSURADO",IF($T58=0,"SIN DATO","CONFIABLE")))</f>
        <v>CONFIABLE</v>
      </c>
      <c r="AA58" s="24" t="n">
        <f aca="false">IF($I58=0,"",ROUND($J58/MAX($I58,0.01),2))</f>
        <v>1.78</v>
      </c>
      <c r="AB58" s="24" t="n">
        <f aca="false">IF($J58&lt;=0,"",ROUND(($F58+$G58)/$J58,0))</f>
        <v>102</v>
      </c>
      <c r="AC58" s="26" t="n">
        <f aca="false">IF($AB58="","",$J$3+$AB58)</f>
        <v>46347</v>
      </c>
      <c r="AD58" s="23" t="n">
        <v>0</v>
      </c>
      <c r="AE58" s="23" t="n">
        <v>0</v>
      </c>
      <c r="AF58" s="23" t="n">
        <v>0</v>
      </c>
      <c r="AG58" s="24" t="str">
        <f aca="false">IF($AF58=0,"",MAX(0,180-$AE58))</f>
        <v/>
      </c>
      <c r="AH58" s="27" t="n">
        <v>0</v>
      </c>
      <c r="AI58" s="28" t="str">
        <f aca="false">IF($AF58=0,"",$AF58*$Q$3-$AF58*$N$3)</f>
        <v/>
      </c>
      <c r="AJ58" s="23" t="n">
        <v>9.27</v>
      </c>
      <c r="AK58" s="28" t="n">
        <f aca="false">ROUND($F58*$AJ58,0)</f>
        <v>389</v>
      </c>
      <c r="AL58" s="25" t="str">
        <f aca="false">IF(AND($F58=0,$T58&gt;0,$O58=0),"QUIEBRE Y SIN STOCK PARA ENVIAR",IF(AND($F58=0,$T58&gt;0),"QUIEBRE",IF($F58=0,"SIN STOCK SIN DEMANDA",IF(AND($AF58&gt;0,$AG58&lt;&gt;"",OR($AB58="",$AB58&gt;$AG58)),"STOCK VIEJO EN RIESGO",IF(AND($T58=0,$H58=0),"SIN ROTACION",IF($AB58="","-",IF($AB58&lt;14,"REPONER",IF($AB58&gt;84,"SOBRE-STOCK","EN RANGO"))))))))</f>
        <v>SOBRE-STOCK</v>
      </c>
    </row>
    <row r="59" customFormat="false" ht="15" hidden="false" customHeight="false" outlineLevel="0" collapsed="false">
      <c r="A59" s="4" t="s">
        <v>94</v>
      </c>
      <c r="B59" s="23" t="s">
        <v>308</v>
      </c>
      <c r="C59" s="23" t="s">
        <v>309</v>
      </c>
      <c r="D59" s="23" t="s">
        <v>310</v>
      </c>
      <c r="E59" s="23" t="s">
        <v>311</v>
      </c>
      <c r="F59" s="23" t="n">
        <v>70</v>
      </c>
      <c r="G59" s="23" t="n">
        <v>10</v>
      </c>
      <c r="H59" s="23" t="n">
        <v>9</v>
      </c>
      <c r="I59" s="24" t="n">
        <f aca="false">ROUND($H59/30,2)</f>
        <v>0.3</v>
      </c>
      <c r="J59" s="25" t="n">
        <f aca="false">IF($Z59="CENSURADO",ROUND($T59/MAX($V59,3),2),ROUND($T59/$G$3,2))</f>
        <v>0.34</v>
      </c>
      <c r="K59" s="24" t="n">
        <f aca="false">ROUNDUP($J59*$C$3*7,0)</f>
        <v>8</v>
      </c>
      <c r="L59" s="24" t="n">
        <f aca="false">MAX(0,$K59-$F59-$G59)</f>
        <v>0</v>
      </c>
      <c r="M59" s="23" t="n">
        <v>241</v>
      </c>
      <c r="N59" s="23" t="n">
        <v>21</v>
      </c>
      <c r="O59" s="24" t="n">
        <f aca="false">$M59+$N59</f>
        <v>262</v>
      </c>
      <c r="P59" s="25" t="n">
        <f aca="false">MIN($L59,$O59)</f>
        <v>0</v>
      </c>
      <c r="Q59" s="23" t="s">
        <v>99</v>
      </c>
      <c r="R59" s="23" t="n">
        <v>1</v>
      </c>
      <c r="S59" s="23" t="s">
        <v>133</v>
      </c>
      <c r="T59" s="23" t="n">
        <v>11</v>
      </c>
      <c r="U59" s="23" t="n">
        <v>9</v>
      </c>
      <c r="V59" s="23" t="n">
        <v>28</v>
      </c>
      <c r="W59" s="23" t="n">
        <v>1</v>
      </c>
      <c r="X59" s="23" t="n">
        <v>72</v>
      </c>
      <c r="Y59" s="24" t="n">
        <f aca="false">IF($X59=0,"",ROUND($H59/$X59,2))</f>
        <v>0.13</v>
      </c>
      <c r="Z59" s="24" t="str">
        <f aca="false">IF(AND($F59=0,$T59&gt;=5,$W59&gt;=3),"CENSURADO",IF(AND($Y59&lt;&gt;"",$Y59&gt;=3,$T59&gt;=10),"CENSURADO",IF($T59=0,"SIN DATO","CONFIABLE")))</f>
        <v>CONFIABLE</v>
      </c>
      <c r="AA59" s="24" t="n">
        <f aca="false">IF($I59=0,"",ROUND($J59/MAX($I59,0.01),2))</f>
        <v>1.13</v>
      </c>
      <c r="AB59" s="24" t="n">
        <f aca="false">IF($J59&lt;=0,"",ROUND(($F59+$G59)/$J59,0))</f>
        <v>235</v>
      </c>
      <c r="AC59" s="26" t="n">
        <f aca="false">IF($AB59="","",$J$3+$AB59)</f>
        <v>46480</v>
      </c>
      <c r="AD59" s="23" t="n">
        <v>0</v>
      </c>
      <c r="AE59" s="23" t="n">
        <v>0</v>
      </c>
      <c r="AF59" s="23" t="n">
        <v>0</v>
      </c>
      <c r="AG59" s="24" t="str">
        <f aca="false">IF($AF59=0,"",MAX(0,180-$AE59))</f>
        <v/>
      </c>
      <c r="AH59" s="27" t="n">
        <v>0</v>
      </c>
      <c r="AI59" s="28" t="str">
        <f aca="false">IF($AF59=0,"",$AF59*$Q$3-$AF59*$N$3)</f>
        <v/>
      </c>
      <c r="AJ59" s="23" t="n">
        <v>3.88</v>
      </c>
      <c r="AK59" s="28" t="n">
        <f aca="false">ROUND($F59*$AJ59,0)</f>
        <v>272</v>
      </c>
      <c r="AL59" s="25" t="str">
        <f aca="false">IF(AND($F59=0,$T59&gt;0,$O59=0),"QUIEBRE Y SIN STOCK PARA ENVIAR",IF(AND($F59=0,$T59&gt;0),"QUIEBRE",IF($F59=0,"SIN STOCK SIN DEMANDA",IF(AND($AF59&gt;0,$AG59&lt;&gt;"",OR($AB59="",$AB59&gt;$AG59)),"STOCK VIEJO EN RIESGO",IF(AND($T59=0,$H59=0),"SIN ROTACION",IF($AB59="","-",IF($AB59&lt;14,"REPONER",IF($AB59&gt;84,"SOBRE-STOCK","EN RANGO"))))))))</f>
        <v>SOBRE-STOCK</v>
      </c>
    </row>
    <row r="60" customFormat="false" ht="15" hidden="false" customHeight="false" outlineLevel="0" collapsed="false">
      <c r="A60" s="4" t="s">
        <v>94</v>
      </c>
      <c r="B60" s="23" t="s">
        <v>312</v>
      </c>
      <c r="C60" s="23" t="s">
        <v>313</v>
      </c>
      <c r="D60" s="23" t="s">
        <v>314</v>
      </c>
      <c r="E60" s="23" t="s">
        <v>315</v>
      </c>
      <c r="F60" s="23" t="n">
        <v>0</v>
      </c>
      <c r="G60" s="23" t="n">
        <v>5</v>
      </c>
      <c r="H60" s="23" t="n">
        <v>0</v>
      </c>
      <c r="I60" s="24" t="n">
        <f aca="false">ROUND($H60/30,2)</f>
        <v>0</v>
      </c>
      <c r="J60" s="25" t="n">
        <f aca="false">IF($Z60="CENSURADO",ROUND($T60/MAX($V60,3),2),ROUND($T60/$G$3,2))</f>
        <v>0.44</v>
      </c>
      <c r="K60" s="24" t="n">
        <f aca="false">ROUNDUP($J60*$C$3*7,0)</f>
        <v>10</v>
      </c>
      <c r="L60" s="24" t="n">
        <f aca="false">MAX(0,$K60-$F60-$G60)</f>
        <v>5</v>
      </c>
      <c r="M60" s="23" t="n">
        <v>463</v>
      </c>
      <c r="N60" s="23" t="n">
        <v>56</v>
      </c>
      <c r="O60" s="24" t="n">
        <f aca="false">$M60+$N60</f>
        <v>519</v>
      </c>
      <c r="P60" s="25" t="n">
        <f aca="false">MIN($L60,$O60)</f>
        <v>5</v>
      </c>
      <c r="Q60" s="23" t="s">
        <v>99</v>
      </c>
      <c r="R60" s="23" t="n">
        <v>1</v>
      </c>
      <c r="S60" s="23" t="s">
        <v>133</v>
      </c>
      <c r="T60" s="23" t="n">
        <v>11</v>
      </c>
      <c r="U60" s="23" t="n">
        <v>9</v>
      </c>
      <c r="V60" s="23" t="n">
        <v>25</v>
      </c>
      <c r="W60" s="23" t="n">
        <v>7</v>
      </c>
      <c r="X60" s="23" t="n">
        <v>0</v>
      </c>
      <c r="Y60" s="24" t="str">
        <f aca="false">IF($X60=0,"",ROUND($H60/$X60,2))</f>
        <v/>
      </c>
      <c r="Z60" s="24" t="str">
        <f aca="false">IF(AND($F60=0,$T60&gt;=5,$W60&gt;=3),"CENSURADO",IF(AND($Y60&lt;&gt;"",$Y60&gt;=3,$T60&gt;=10),"CENSURADO",IF($T60=0,"SIN DATO","CONFIABLE")))</f>
        <v>CENSURADO</v>
      </c>
      <c r="AA60" s="24" t="str">
        <f aca="false">IF($I60=0,"",ROUND($J60/MAX($I60,0.01),2))</f>
        <v/>
      </c>
      <c r="AB60" s="24" t="n">
        <f aca="false">IF($J60&lt;=0,"",ROUND(($F60+$G60)/$J60,0))</f>
        <v>11</v>
      </c>
      <c r="AC60" s="26" t="n">
        <f aca="false">IF($AB60="","",$J$3+$AB60)</f>
        <v>46256</v>
      </c>
      <c r="AD60" s="23" t="n">
        <v>0</v>
      </c>
      <c r="AE60" s="23" t="n">
        <v>0</v>
      </c>
      <c r="AF60" s="23" t="n">
        <v>0</v>
      </c>
      <c r="AG60" s="24" t="str">
        <f aca="false">IF($AF60=0,"",MAX(0,180-$AE60))</f>
        <v/>
      </c>
      <c r="AH60" s="27" t="n">
        <v>0</v>
      </c>
      <c r="AI60" s="28" t="str">
        <f aca="false">IF($AF60=0,"",$AF60*$Q$3-$AF60*$N$3)</f>
        <v/>
      </c>
      <c r="AJ60" s="23" t="n">
        <v>3.67</v>
      </c>
      <c r="AK60" s="28" t="n">
        <f aca="false">ROUND($F60*$AJ60,0)</f>
        <v>0</v>
      </c>
      <c r="AL60" s="25" t="str">
        <f aca="false">IF(AND($F60=0,$T60&gt;0,$O60=0),"QUIEBRE Y SIN STOCK PARA ENVIAR",IF(AND($F60=0,$T60&gt;0),"QUIEBRE",IF($F60=0,"SIN STOCK SIN DEMANDA",IF(AND($AF60&gt;0,$AG60&lt;&gt;"",OR($AB60="",$AB60&gt;$AG60)),"STOCK VIEJO EN RIESGO",IF(AND($T60=0,$H60=0),"SIN ROTACION",IF($AB60="","-",IF($AB60&lt;14,"REPONER",IF($AB60&gt;84,"SOBRE-STOCK","EN RANGO"))))))))</f>
        <v>QUIEBRE</v>
      </c>
    </row>
    <row r="61" customFormat="false" ht="15" hidden="false" customHeight="false" outlineLevel="0" collapsed="false">
      <c r="A61" s="4" t="s">
        <v>94</v>
      </c>
      <c r="B61" s="23" t="s">
        <v>316</v>
      </c>
      <c r="C61" s="23" t="s">
        <v>317</v>
      </c>
      <c r="D61" s="23" t="s">
        <v>318</v>
      </c>
      <c r="E61" s="23" t="s">
        <v>319</v>
      </c>
      <c r="F61" s="23" t="n">
        <v>0</v>
      </c>
      <c r="G61" s="23" t="n">
        <v>5</v>
      </c>
      <c r="H61" s="23" t="n">
        <v>5</v>
      </c>
      <c r="I61" s="24" t="n">
        <f aca="false">ROUND($H61/30,2)</f>
        <v>0.17</v>
      </c>
      <c r="J61" s="25" t="n">
        <f aca="false">IF($Z61="CENSURADO",ROUND($T61/MAX($V61,3),2),ROUND($T61/$G$3,2))</f>
        <v>0.34</v>
      </c>
      <c r="K61" s="24" t="n">
        <f aca="false">ROUNDUP($J61*$C$3*7,0)</f>
        <v>8</v>
      </c>
      <c r="L61" s="24" t="n">
        <f aca="false">MAX(0,$K61-$F61-$G61)</f>
        <v>3</v>
      </c>
      <c r="M61" s="23" t="n">
        <v>310</v>
      </c>
      <c r="N61" s="23" t="n">
        <v>26</v>
      </c>
      <c r="O61" s="24" t="n">
        <f aca="false">$M61+$N61</f>
        <v>336</v>
      </c>
      <c r="P61" s="25" t="n">
        <f aca="false">MIN($L61,$O61)</f>
        <v>3</v>
      </c>
      <c r="Q61" s="23" t="s">
        <v>99</v>
      </c>
      <c r="R61" s="23" t="n">
        <v>1</v>
      </c>
      <c r="S61" s="23" t="s">
        <v>133</v>
      </c>
      <c r="T61" s="23" t="n">
        <v>11</v>
      </c>
      <c r="U61" s="23" t="n">
        <v>8</v>
      </c>
      <c r="V61" s="23" t="n">
        <v>28</v>
      </c>
      <c r="W61" s="23" t="n">
        <v>1</v>
      </c>
      <c r="X61" s="23" t="n">
        <v>2</v>
      </c>
      <c r="Y61" s="24" t="n">
        <f aca="false">IF($X61=0,"",ROUND($H61/$X61,2))</f>
        <v>2.5</v>
      </c>
      <c r="Z61" s="24" t="str">
        <f aca="false">IF(AND($F61=0,$T61&gt;=5,$W61&gt;=3),"CENSURADO",IF(AND($Y61&lt;&gt;"",$Y61&gt;=3,$T61&gt;=10),"CENSURADO",IF($T61=0,"SIN DATO","CONFIABLE")))</f>
        <v>CONFIABLE</v>
      </c>
      <c r="AA61" s="24" t="n">
        <f aca="false">IF($I61=0,"",ROUND($J61/MAX($I61,0.01),2))</f>
        <v>2</v>
      </c>
      <c r="AB61" s="24" t="n">
        <f aca="false">IF($J61&lt;=0,"",ROUND(($F61+$G61)/$J61,0))</f>
        <v>15</v>
      </c>
      <c r="AC61" s="26" t="n">
        <f aca="false">IF($AB61="","",$J$3+$AB61)</f>
        <v>46260</v>
      </c>
      <c r="AD61" s="23" t="n">
        <v>0</v>
      </c>
      <c r="AE61" s="23" t="n">
        <v>0</v>
      </c>
      <c r="AF61" s="23" t="n">
        <v>0</v>
      </c>
      <c r="AG61" s="24" t="str">
        <f aca="false">IF($AF61=0,"",MAX(0,180-$AE61))</f>
        <v/>
      </c>
      <c r="AH61" s="27" t="n">
        <v>0</v>
      </c>
      <c r="AI61" s="28" t="str">
        <f aca="false">IF($AF61=0,"",$AF61*$Q$3-$AF61*$N$3)</f>
        <v/>
      </c>
      <c r="AJ61" s="23" t="n">
        <v>0</v>
      </c>
      <c r="AK61" s="28" t="n">
        <f aca="false">ROUND($F61*$AJ61,0)</f>
        <v>0</v>
      </c>
      <c r="AL61" s="25" t="str">
        <f aca="false">IF(AND($F61=0,$T61&gt;0,$O61=0),"QUIEBRE Y SIN STOCK PARA ENVIAR",IF(AND($F61=0,$T61&gt;0),"QUIEBRE",IF($F61=0,"SIN STOCK SIN DEMANDA",IF(AND($AF61&gt;0,$AG61&lt;&gt;"",OR($AB61="",$AB61&gt;$AG61)),"STOCK VIEJO EN RIESGO",IF(AND($T61=0,$H61=0),"SIN ROTACION",IF($AB61="","-",IF($AB61&lt;14,"REPONER",IF($AB61&gt;84,"SOBRE-STOCK","EN RANGO"))))))))</f>
        <v>QUIEBRE</v>
      </c>
    </row>
    <row r="62" customFormat="false" ht="15" hidden="false" customHeight="false" outlineLevel="0" collapsed="false">
      <c r="A62" s="4" t="s">
        <v>94</v>
      </c>
      <c r="B62" s="23" t="s">
        <v>320</v>
      </c>
      <c r="C62" s="23" t="s">
        <v>321</v>
      </c>
      <c r="D62" s="23" t="s">
        <v>322</v>
      </c>
      <c r="E62" s="23" t="s">
        <v>323</v>
      </c>
      <c r="F62" s="23" t="n">
        <v>10</v>
      </c>
      <c r="G62" s="23" t="n">
        <v>0</v>
      </c>
      <c r="H62" s="23" t="n">
        <v>0</v>
      </c>
      <c r="I62" s="24" t="n">
        <f aca="false">ROUND($H62/30,2)</f>
        <v>0</v>
      </c>
      <c r="J62" s="25" t="n">
        <f aca="false">IF($Z62="CENSURADO",ROUND($T62/MAX($V62,3),2),ROUND($T62/$G$3,2))</f>
        <v>0.31</v>
      </c>
      <c r="K62" s="24" t="n">
        <f aca="false">ROUNDUP($J62*$C$3*7,0)</f>
        <v>7</v>
      </c>
      <c r="L62" s="24" t="n">
        <f aca="false">MAX(0,$K62-$F62-$G62)</f>
        <v>0</v>
      </c>
      <c r="M62" s="23" t="n">
        <v>3</v>
      </c>
      <c r="N62" s="23" t="n">
        <v>0</v>
      </c>
      <c r="O62" s="24" t="n">
        <f aca="false">$M62+$N62</f>
        <v>3</v>
      </c>
      <c r="P62" s="25" t="n">
        <f aca="false">MIN($L62,$O62)</f>
        <v>0</v>
      </c>
      <c r="Q62" s="23" t="s">
        <v>99</v>
      </c>
      <c r="R62" s="23" t="n">
        <v>2</v>
      </c>
      <c r="S62" s="23" t="s">
        <v>211</v>
      </c>
      <c r="T62" s="23" t="n">
        <v>10</v>
      </c>
      <c r="U62" s="23" t="n">
        <v>8</v>
      </c>
      <c r="V62" s="23" t="n">
        <v>18</v>
      </c>
      <c r="W62" s="23" t="n">
        <v>14</v>
      </c>
      <c r="X62" s="23" t="n">
        <v>10</v>
      </c>
      <c r="Y62" s="24" t="n">
        <f aca="false">IF($X62=0,"",ROUND($H62/$X62,2))</f>
        <v>0</v>
      </c>
      <c r="Z62" s="24" t="str">
        <f aca="false">IF(AND($F62=0,$T62&gt;=5,$W62&gt;=3),"CENSURADO",IF(AND($Y62&lt;&gt;"",$Y62&gt;=3,$T62&gt;=10),"CENSURADO",IF($T62=0,"SIN DATO","CONFIABLE")))</f>
        <v>CONFIABLE</v>
      </c>
      <c r="AA62" s="24" t="str">
        <f aca="false">IF($I62=0,"",ROUND($J62/MAX($I62,0.01),2))</f>
        <v/>
      </c>
      <c r="AB62" s="24" t="n">
        <f aca="false">IF($J62&lt;=0,"",ROUND(($F62+$G62)/$J62,0))</f>
        <v>32</v>
      </c>
      <c r="AC62" s="26" t="n">
        <f aca="false">IF($AB62="","",$J$3+$AB62)</f>
        <v>46277</v>
      </c>
      <c r="AD62" s="23" t="n">
        <v>0</v>
      </c>
      <c r="AE62" s="23" t="n">
        <v>0</v>
      </c>
      <c r="AF62" s="23" t="n">
        <v>0</v>
      </c>
      <c r="AG62" s="24" t="str">
        <f aca="false">IF($AF62=0,"",MAX(0,180-$AE62))</f>
        <v/>
      </c>
      <c r="AH62" s="27" t="n">
        <v>0</v>
      </c>
      <c r="AI62" s="28" t="str">
        <f aca="false">IF($AF62=0,"",$AF62*$Q$3-$AF62*$N$3)</f>
        <v/>
      </c>
      <c r="AJ62" s="23" t="n">
        <v>78.86</v>
      </c>
      <c r="AK62" s="28" t="n">
        <f aca="false">ROUND($F62*$AJ62,0)</f>
        <v>789</v>
      </c>
      <c r="AL62" s="25" t="str">
        <f aca="false">IF(AND($F62=0,$T62&gt;0,$O62=0),"QUIEBRE Y SIN STOCK PARA ENVIAR",IF(AND($F62=0,$T62&gt;0),"QUIEBRE",IF($F62=0,"SIN STOCK SIN DEMANDA",IF(AND($AF62&gt;0,$AG62&lt;&gt;"",OR($AB62="",$AB62&gt;$AG62)),"STOCK VIEJO EN RIESGO",IF(AND($T62=0,$H62=0),"SIN ROTACION",IF($AB62="","-",IF($AB62&lt;14,"REPONER",IF($AB62&gt;84,"SOBRE-STOCK","EN RANGO"))))))))</f>
        <v>EN RANGO</v>
      </c>
    </row>
    <row r="63" customFormat="false" ht="15" hidden="false" customHeight="false" outlineLevel="0" collapsed="false">
      <c r="A63" s="4" t="s">
        <v>94</v>
      </c>
      <c r="B63" s="23" t="s">
        <v>324</v>
      </c>
      <c r="C63" s="23" t="s">
        <v>325</v>
      </c>
      <c r="D63" s="23" t="s">
        <v>326</v>
      </c>
      <c r="E63" s="23" t="s">
        <v>327</v>
      </c>
      <c r="F63" s="23" t="n">
        <v>0</v>
      </c>
      <c r="G63" s="23" t="n">
        <v>0</v>
      </c>
      <c r="H63" s="23" t="n">
        <v>0</v>
      </c>
      <c r="I63" s="24" t="n">
        <f aca="false">ROUND($H63/30,2)</f>
        <v>0</v>
      </c>
      <c r="J63" s="25" t="n">
        <f aca="false">IF($Z63="CENSURADO",ROUND($T63/MAX($V63,3),2),ROUND($T63/$G$3,2))</f>
        <v>3.33</v>
      </c>
      <c r="K63" s="24" t="n">
        <f aca="false">ROUNDUP($J63*$C$3*7,0)</f>
        <v>70</v>
      </c>
      <c r="L63" s="24" t="n">
        <f aca="false">MAX(0,$K63-$F63-$G63)</f>
        <v>70</v>
      </c>
      <c r="M63" s="23" t="n">
        <v>2854</v>
      </c>
      <c r="N63" s="23" t="n">
        <v>56</v>
      </c>
      <c r="O63" s="24" t="n">
        <f aca="false">$M63+$N63</f>
        <v>2910</v>
      </c>
      <c r="P63" s="25" t="n">
        <f aca="false">MIN($L63,$O63)</f>
        <v>70</v>
      </c>
      <c r="Q63" s="23" t="s">
        <v>99</v>
      </c>
      <c r="R63" s="23" t="n">
        <v>1</v>
      </c>
      <c r="S63" s="23" t="s">
        <v>100</v>
      </c>
      <c r="T63" s="23" t="n">
        <v>10</v>
      </c>
      <c r="U63" s="23" t="n">
        <v>1</v>
      </c>
      <c r="V63" s="23" t="n">
        <v>1</v>
      </c>
      <c r="W63" s="23" t="n">
        <v>29</v>
      </c>
      <c r="X63" s="23" t="n">
        <v>0</v>
      </c>
      <c r="Y63" s="24" t="str">
        <f aca="false">IF($X63=0,"",ROUND($H63/$X63,2))</f>
        <v/>
      </c>
      <c r="Z63" s="24" t="str">
        <f aca="false">IF(AND($F63=0,$T63&gt;=5,$W63&gt;=3),"CENSURADO",IF(AND($Y63&lt;&gt;"",$Y63&gt;=3,$T63&gt;=10),"CENSURADO",IF($T63=0,"SIN DATO","CONFIABLE")))</f>
        <v>CENSURADO</v>
      </c>
      <c r="AA63" s="24" t="str">
        <f aca="false">IF($I63=0,"",ROUND($J63/MAX($I63,0.01),2))</f>
        <v/>
      </c>
      <c r="AB63" s="24" t="n">
        <f aca="false">IF($J63&lt;=0,"",ROUND(($F63+$G63)/$J63,0))</f>
        <v>0</v>
      </c>
      <c r="AC63" s="26" t="n">
        <f aca="false">IF($AB63="","",$J$3+$AB63)</f>
        <v>46245</v>
      </c>
      <c r="AD63" s="23" t="n">
        <v>0</v>
      </c>
      <c r="AE63" s="23" t="n">
        <v>0</v>
      </c>
      <c r="AF63" s="23" t="n">
        <v>0</v>
      </c>
      <c r="AG63" s="24" t="str">
        <f aca="false">IF($AF63=0,"",MAX(0,180-$AE63))</f>
        <v/>
      </c>
      <c r="AH63" s="27" t="n">
        <v>0</v>
      </c>
      <c r="AI63" s="28" t="str">
        <f aca="false">IF($AF63=0,"",$AF63*$Q$3-$AF63*$N$3)</f>
        <v/>
      </c>
      <c r="AJ63" s="23" t="n">
        <v>0.74</v>
      </c>
      <c r="AK63" s="28" t="n">
        <f aca="false">ROUND($F63*$AJ63,0)</f>
        <v>0</v>
      </c>
      <c r="AL63" s="25" t="str">
        <f aca="false">IF(AND($F63=0,$T63&gt;0,$O63=0),"QUIEBRE Y SIN STOCK PARA ENVIAR",IF(AND($F63=0,$T63&gt;0),"QUIEBRE",IF($F63=0,"SIN STOCK SIN DEMANDA",IF(AND($AF63&gt;0,$AG63&lt;&gt;"",OR($AB63="",$AB63&gt;$AG63)),"STOCK VIEJO EN RIESGO",IF(AND($T63=0,$H63=0),"SIN ROTACION",IF($AB63="","-",IF($AB63&lt;14,"REPONER",IF($AB63&gt;84,"SOBRE-STOCK","EN RANGO"))))))))</f>
        <v>QUIEBRE</v>
      </c>
    </row>
    <row r="64" customFormat="false" ht="15" hidden="false" customHeight="false" outlineLevel="0" collapsed="false">
      <c r="A64" s="4" t="s">
        <v>94</v>
      </c>
      <c r="B64" s="23" t="s">
        <v>328</v>
      </c>
      <c r="C64" s="23" t="s">
        <v>329</v>
      </c>
      <c r="D64" s="23" t="s">
        <v>330</v>
      </c>
      <c r="E64" s="23" t="s">
        <v>331</v>
      </c>
      <c r="F64" s="23" t="n">
        <v>13</v>
      </c>
      <c r="G64" s="23" t="n">
        <v>10</v>
      </c>
      <c r="H64" s="23" t="n">
        <v>7</v>
      </c>
      <c r="I64" s="24" t="n">
        <f aca="false">ROUND($H64/30,2)</f>
        <v>0.23</v>
      </c>
      <c r="J64" s="25" t="n">
        <f aca="false">IF($Z64="CENSURADO",ROUND($T64/MAX($V64,3),2),ROUND($T64/$G$3,2))</f>
        <v>0.31</v>
      </c>
      <c r="K64" s="24" t="n">
        <f aca="false">ROUNDUP($J64*$C$3*7,0)</f>
        <v>7</v>
      </c>
      <c r="L64" s="24" t="n">
        <f aca="false">MAX(0,$K64-$F64-$G64)</f>
        <v>0</v>
      </c>
      <c r="M64" s="23" t="n">
        <v>1959</v>
      </c>
      <c r="N64" s="23" t="n">
        <v>1230</v>
      </c>
      <c r="O64" s="24" t="n">
        <f aca="false">$M64+$N64</f>
        <v>3189</v>
      </c>
      <c r="P64" s="25" t="n">
        <f aca="false">MIN($L64,$O64)</f>
        <v>0</v>
      </c>
      <c r="Q64" s="23" t="s">
        <v>99</v>
      </c>
      <c r="R64" s="23" t="n">
        <v>1</v>
      </c>
      <c r="S64" s="23" t="s">
        <v>133</v>
      </c>
      <c r="T64" s="23" t="n">
        <v>10</v>
      </c>
      <c r="U64" s="23" t="n">
        <v>4</v>
      </c>
      <c r="V64" s="23" t="n">
        <v>28</v>
      </c>
      <c r="W64" s="23" t="n">
        <v>1</v>
      </c>
      <c r="X64" s="23" t="n">
        <v>15</v>
      </c>
      <c r="Y64" s="24" t="n">
        <f aca="false">IF($X64=0,"",ROUND($H64/$X64,2))</f>
        <v>0.47</v>
      </c>
      <c r="Z64" s="24" t="str">
        <f aca="false">IF(AND($F64=0,$T64&gt;=5,$W64&gt;=3),"CENSURADO",IF(AND($Y64&lt;&gt;"",$Y64&gt;=3,$T64&gt;=10),"CENSURADO",IF($T64=0,"SIN DATO","CONFIABLE")))</f>
        <v>CONFIABLE</v>
      </c>
      <c r="AA64" s="24" t="n">
        <f aca="false">IF($I64=0,"",ROUND($J64/MAX($I64,0.01),2))</f>
        <v>1.35</v>
      </c>
      <c r="AB64" s="24" t="n">
        <f aca="false">IF($J64&lt;=0,"",ROUND(($F64+$G64)/$J64,0))</f>
        <v>74</v>
      </c>
      <c r="AC64" s="26" t="n">
        <f aca="false">IF($AB64="","",$J$3+$AB64)</f>
        <v>46319</v>
      </c>
      <c r="AD64" s="23" t="n">
        <v>0</v>
      </c>
      <c r="AE64" s="23" t="n">
        <v>0</v>
      </c>
      <c r="AF64" s="23" t="n">
        <v>0</v>
      </c>
      <c r="AG64" s="24" t="str">
        <f aca="false">IF($AF64=0,"",MAX(0,180-$AE64))</f>
        <v/>
      </c>
      <c r="AH64" s="27" t="n">
        <v>0</v>
      </c>
      <c r="AI64" s="28" t="str">
        <f aca="false">IF($AF64=0,"",$AF64*$Q$3-$AF64*$N$3)</f>
        <v/>
      </c>
      <c r="AJ64" s="23" t="n">
        <v>0.69</v>
      </c>
      <c r="AK64" s="28" t="n">
        <f aca="false">ROUND($F64*$AJ64,0)</f>
        <v>9</v>
      </c>
      <c r="AL64" s="25" t="str">
        <f aca="false">IF(AND($F64=0,$T64&gt;0,$O64=0),"QUIEBRE Y SIN STOCK PARA ENVIAR",IF(AND($F64=0,$T64&gt;0),"QUIEBRE",IF($F64=0,"SIN STOCK SIN DEMANDA",IF(AND($AF64&gt;0,$AG64&lt;&gt;"",OR($AB64="",$AB64&gt;$AG64)),"STOCK VIEJO EN RIESGO",IF(AND($T64=0,$H64=0),"SIN ROTACION",IF($AB64="","-",IF($AB64&lt;14,"REPONER",IF($AB64&gt;84,"SOBRE-STOCK","EN RANGO"))))))))</f>
        <v>EN RANGO</v>
      </c>
    </row>
    <row r="65" customFormat="false" ht="15" hidden="false" customHeight="false" outlineLevel="0" collapsed="false">
      <c r="A65" s="4" t="s">
        <v>94</v>
      </c>
      <c r="B65" s="23" t="s">
        <v>332</v>
      </c>
      <c r="C65" s="23" t="s">
        <v>333</v>
      </c>
      <c r="D65" s="23" t="s">
        <v>334</v>
      </c>
      <c r="E65" s="23" t="s">
        <v>335</v>
      </c>
      <c r="F65" s="23" t="n">
        <v>0</v>
      </c>
      <c r="G65" s="23" t="n">
        <v>0</v>
      </c>
      <c r="H65" s="23" t="n">
        <v>5</v>
      </c>
      <c r="I65" s="24" t="n">
        <f aca="false">ROUND($H65/30,2)</f>
        <v>0.17</v>
      </c>
      <c r="J65" s="25" t="n">
        <f aca="false">IF($Z65="CENSURADO",ROUND($T65/MAX($V65,3),2),ROUND($T65/$G$3,2))</f>
        <v>0.33</v>
      </c>
      <c r="K65" s="24" t="n">
        <f aca="false">ROUNDUP($J65*$C$3*7,0)</f>
        <v>7</v>
      </c>
      <c r="L65" s="24" t="n">
        <f aca="false">MAX(0,$K65-$F65-$G65)</f>
        <v>7</v>
      </c>
      <c r="M65" s="23" t="n">
        <v>370</v>
      </c>
      <c r="N65" s="23" t="n">
        <v>113</v>
      </c>
      <c r="O65" s="24" t="n">
        <f aca="false">$M65+$N65</f>
        <v>483</v>
      </c>
      <c r="P65" s="25" t="n">
        <f aca="false">MIN($L65,$O65)</f>
        <v>7</v>
      </c>
      <c r="Q65" s="23" t="s">
        <v>99</v>
      </c>
      <c r="R65" s="23" t="n">
        <v>1</v>
      </c>
      <c r="S65" s="23" t="s">
        <v>211</v>
      </c>
      <c r="T65" s="23" t="n">
        <v>9</v>
      </c>
      <c r="U65" s="23" t="n">
        <v>8</v>
      </c>
      <c r="V65" s="23" t="n">
        <v>27</v>
      </c>
      <c r="W65" s="23" t="n">
        <v>5</v>
      </c>
      <c r="X65" s="23" t="n">
        <v>2</v>
      </c>
      <c r="Y65" s="24" t="n">
        <f aca="false">IF($X65=0,"",ROUND($H65/$X65,2))</f>
        <v>2.5</v>
      </c>
      <c r="Z65" s="24" t="str">
        <f aca="false">IF(AND($F65=0,$T65&gt;=5,$W65&gt;=3),"CENSURADO",IF(AND($Y65&lt;&gt;"",$Y65&gt;=3,$T65&gt;=10),"CENSURADO",IF($T65=0,"SIN DATO","CONFIABLE")))</f>
        <v>CENSURADO</v>
      </c>
      <c r="AA65" s="24" t="n">
        <f aca="false">IF($I65=0,"",ROUND($J65/MAX($I65,0.01),2))</f>
        <v>1.94</v>
      </c>
      <c r="AB65" s="24" t="n">
        <f aca="false">IF($J65&lt;=0,"",ROUND(($F65+$G65)/$J65,0))</f>
        <v>0</v>
      </c>
      <c r="AC65" s="26" t="n">
        <f aca="false">IF($AB65="","",$J$3+$AB65)</f>
        <v>46245</v>
      </c>
      <c r="AD65" s="23" t="n">
        <v>0</v>
      </c>
      <c r="AE65" s="23" t="n">
        <v>0</v>
      </c>
      <c r="AF65" s="23" t="n">
        <v>0</v>
      </c>
      <c r="AG65" s="24" t="str">
        <f aca="false">IF($AF65=0,"",MAX(0,180-$AE65))</f>
        <v/>
      </c>
      <c r="AH65" s="27" t="n">
        <v>0</v>
      </c>
      <c r="AI65" s="28" t="str">
        <f aca="false">IF($AF65=0,"",$AF65*$Q$3-$AF65*$N$3)</f>
        <v/>
      </c>
      <c r="AJ65" s="23" t="n">
        <v>23.64</v>
      </c>
      <c r="AK65" s="28" t="n">
        <f aca="false">ROUND($F65*$AJ65,0)</f>
        <v>0</v>
      </c>
      <c r="AL65" s="25" t="str">
        <f aca="false">IF(AND($F65=0,$T65&gt;0,$O65=0),"QUIEBRE Y SIN STOCK PARA ENVIAR",IF(AND($F65=0,$T65&gt;0),"QUIEBRE",IF($F65=0,"SIN STOCK SIN DEMANDA",IF(AND($AF65&gt;0,$AG65&lt;&gt;"",OR($AB65="",$AB65&gt;$AG65)),"STOCK VIEJO EN RIESGO",IF(AND($T65=0,$H65=0),"SIN ROTACION",IF($AB65="","-",IF($AB65&lt;14,"REPONER",IF($AB65&gt;84,"SOBRE-STOCK","EN RANGO"))))))))</f>
        <v>QUIEBRE</v>
      </c>
    </row>
    <row r="66" customFormat="false" ht="15" hidden="false" customHeight="false" outlineLevel="0" collapsed="false">
      <c r="A66" s="4" t="s">
        <v>94</v>
      </c>
      <c r="B66" s="23" t="s">
        <v>336</v>
      </c>
      <c r="C66" s="23" t="s">
        <v>337</v>
      </c>
      <c r="D66" s="23" t="s">
        <v>338</v>
      </c>
      <c r="E66" s="23" t="s">
        <v>339</v>
      </c>
      <c r="F66" s="23" t="n">
        <v>15</v>
      </c>
      <c r="G66" s="23" t="n">
        <v>0</v>
      </c>
      <c r="H66" s="23" t="n">
        <v>2</v>
      </c>
      <c r="I66" s="24" t="n">
        <f aca="false">ROUND($H66/30,2)</f>
        <v>0.07</v>
      </c>
      <c r="J66" s="25" t="n">
        <f aca="false">IF($Z66="CENSURADO",ROUND($T66/MAX($V66,3),2),ROUND($T66/$G$3,2))</f>
        <v>0.28</v>
      </c>
      <c r="K66" s="24" t="n">
        <f aca="false">ROUNDUP($J66*$C$3*7,0)</f>
        <v>6</v>
      </c>
      <c r="L66" s="24" t="n">
        <f aca="false">MAX(0,$K66-$F66-$G66)</f>
        <v>0</v>
      </c>
      <c r="M66" s="23" t="n">
        <v>56</v>
      </c>
      <c r="N66" s="23" t="n">
        <v>100</v>
      </c>
      <c r="O66" s="24" t="n">
        <f aca="false">$M66+$N66</f>
        <v>156</v>
      </c>
      <c r="P66" s="25" t="n">
        <f aca="false">MIN($L66,$O66)</f>
        <v>0</v>
      </c>
      <c r="Q66" s="23" t="s">
        <v>99</v>
      </c>
      <c r="R66" s="23" t="n">
        <v>1</v>
      </c>
      <c r="S66" s="23" t="s">
        <v>100</v>
      </c>
      <c r="T66" s="23" t="n">
        <v>9</v>
      </c>
      <c r="U66" s="23" t="n">
        <v>8</v>
      </c>
      <c r="V66" s="23" t="n">
        <v>28</v>
      </c>
      <c r="W66" s="23" t="n">
        <v>1</v>
      </c>
      <c r="X66" s="23" t="n">
        <v>14</v>
      </c>
      <c r="Y66" s="24" t="n">
        <f aca="false">IF($X66=0,"",ROUND($H66/$X66,2))</f>
        <v>0.14</v>
      </c>
      <c r="Z66" s="24" t="str">
        <f aca="false">IF(AND($F66=0,$T66&gt;=5,$W66&gt;=3),"CENSURADO",IF(AND($Y66&lt;&gt;"",$Y66&gt;=3,$T66&gt;=10),"CENSURADO",IF($T66=0,"SIN DATO","CONFIABLE")))</f>
        <v>CONFIABLE</v>
      </c>
      <c r="AA66" s="24" t="n">
        <f aca="false">IF($I66=0,"",ROUND($J66/MAX($I66,0.01),2))</f>
        <v>4</v>
      </c>
      <c r="AB66" s="24" t="n">
        <f aca="false">IF($J66&lt;=0,"",ROUND(($F66+$G66)/$J66,0))</f>
        <v>54</v>
      </c>
      <c r="AC66" s="26" t="n">
        <f aca="false">IF($AB66="","",$J$3+$AB66)</f>
        <v>46299</v>
      </c>
      <c r="AD66" s="23" t="n">
        <v>0</v>
      </c>
      <c r="AE66" s="23" t="n">
        <v>0</v>
      </c>
      <c r="AF66" s="23" t="n">
        <v>0</v>
      </c>
      <c r="AG66" s="24" t="str">
        <f aca="false">IF($AF66=0,"",MAX(0,180-$AE66))</f>
        <v/>
      </c>
      <c r="AH66" s="27" t="n">
        <v>0</v>
      </c>
      <c r="AI66" s="28" t="str">
        <f aca="false">IF($AF66=0,"",$AF66*$Q$3-$AF66*$N$3)</f>
        <v/>
      </c>
      <c r="AJ66" s="23" t="n">
        <v>14.83</v>
      </c>
      <c r="AK66" s="28" t="n">
        <f aca="false">ROUND($F66*$AJ66,0)</f>
        <v>222</v>
      </c>
      <c r="AL66" s="25" t="str">
        <f aca="false">IF(AND($F66=0,$T66&gt;0,$O66=0),"QUIEBRE Y SIN STOCK PARA ENVIAR",IF(AND($F66=0,$T66&gt;0),"QUIEBRE",IF($F66=0,"SIN STOCK SIN DEMANDA",IF(AND($AF66&gt;0,$AG66&lt;&gt;"",OR($AB66="",$AB66&gt;$AG66)),"STOCK VIEJO EN RIESGO",IF(AND($T66=0,$H66=0),"SIN ROTACION",IF($AB66="","-",IF($AB66&lt;14,"REPONER",IF($AB66&gt;84,"SOBRE-STOCK","EN RANGO"))))))))</f>
        <v>EN RANGO</v>
      </c>
    </row>
    <row r="67" customFormat="false" ht="15" hidden="false" customHeight="false" outlineLevel="0" collapsed="false">
      <c r="A67" s="4" t="s">
        <v>94</v>
      </c>
      <c r="B67" s="23" t="s">
        <v>340</v>
      </c>
      <c r="C67" s="23" t="s">
        <v>341</v>
      </c>
      <c r="D67" s="23" t="s">
        <v>342</v>
      </c>
      <c r="E67" s="23" t="s">
        <v>343</v>
      </c>
      <c r="F67" s="23" t="n">
        <v>6</v>
      </c>
      <c r="G67" s="23" t="n">
        <v>0</v>
      </c>
      <c r="H67" s="23" t="n">
        <v>8</v>
      </c>
      <c r="I67" s="24" t="n">
        <f aca="false">ROUND($H67/30,2)</f>
        <v>0.27</v>
      </c>
      <c r="J67" s="25" t="n">
        <f aca="false">IF($Z67="CENSURADO",ROUND($T67/MAX($V67,3),2),ROUND($T67/$G$3,2))</f>
        <v>0.28</v>
      </c>
      <c r="K67" s="24" t="n">
        <f aca="false">ROUNDUP($J67*$C$3*7,0)</f>
        <v>6</v>
      </c>
      <c r="L67" s="24" t="n">
        <f aca="false">MAX(0,$K67-$F67-$G67)</f>
        <v>0</v>
      </c>
      <c r="M67" s="23" t="n">
        <v>27</v>
      </c>
      <c r="N67" s="23" t="n">
        <v>9</v>
      </c>
      <c r="O67" s="24" t="n">
        <f aca="false">$M67+$N67</f>
        <v>36</v>
      </c>
      <c r="P67" s="25" t="n">
        <f aca="false">MIN($L67,$O67)</f>
        <v>0</v>
      </c>
      <c r="Q67" s="23" t="s">
        <v>99</v>
      </c>
      <c r="R67" s="23" t="n">
        <v>1</v>
      </c>
      <c r="S67" s="23" t="s">
        <v>100</v>
      </c>
      <c r="T67" s="23" t="n">
        <v>9</v>
      </c>
      <c r="U67" s="23" t="n">
        <v>9</v>
      </c>
      <c r="V67" s="23" t="n">
        <v>20</v>
      </c>
      <c r="W67" s="23" t="n">
        <v>12</v>
      </c>
      <c r="X67" s="23" t="n">
        <v>9</v>
      </c>
      <c r="Y67" s="24" t="n">
        <f aca="false">IF($X67=0,"",ROUND($H67/$X67,2))</f>
        <v>0.89</v>
      </c>
      <c r="Z67" s="24" t="str">
        <f aca="false">IF(AND($F67=0,$T67&gt;=5,$W67&gt;=3),"CENSURADO",IF(AND($Y67&lt;&gt;"",$Y67&gt;=3,$T67&gt;=10),"CENSURADO",IF($T67=0,"SIN DATO","CONFIABLE")))</f>
        <v>CONFIABLE</v>
      </c>
      <c r="AA67" s="24" t="n">
        <f aca="false">IF($I67=0,"",ROUND($J67/MAX($I67,0.01),2))</f>
        <v>1.04</v>
      </c>
      <c r="AB67" s="24" t="n">
        <f aca="false">IF($J67&lt;=0,"",ROUND(($F67+$G67)/$J67,0))</f>
        <v>21</v>
      </c>
      <c r="AC67" s="26" t="n">
        <f aca="false">IF($AB67="","",$J$3+$AB67)</f>
        <v>46266</v>
      </c>
      <c r="AD67" s="23" t="n">
        <v>0</v>
      </c>
      <c r="AE67" s="23" t="n">
        <v>0</v>
      </c>
      <c r="AF67" s="23" t="n">
        <v>0</v>
      </c>
      <c r="AG67" s="24" t="str">
        <f aca="false">IF($AF67=0,"",MAX(0,180-$AE67))</f>
        <v/>
      </c>
      <c r="AH67" s="27" t="n">
        <v>0</v>
      </c>
      <c r="AI67" s="28" t="str">
        <f aca="false">IF($AF67=0,"",$AF67*$Q$3-$AF67*$N$3)</f>
        <v/>
      </c>
      <c r="AJ67" s="23" t="n">
        <v>6.65</v>
      </c>
      <c r="AK67" s="28" t="n">
        <f aca="false">ROUND($F67*$AJ67,0)</f>
        <v>40</v>
      </c>
      <c r="AL67" s="25" t="str">
        <f aca="false">IF(AND($F67=0,$T67&gt;0,$O67=0),"QUIEBRE Y SIN STOCK PARA ENVIAR",IF(AND($F67=0,$T67&gt;0),"QUIEBRE",IF($F67=0,"SIN STOCK SIN DEMANDA",IF(AND($AF67&gt;0,$AG67&lt;&gt;"",OR($AB67="",$AB67&gt;$AG67)),"STOCK VIEJO EN RIESGO",IF(AND($T67=0,$H67=0),"SIN ROTACION",IF($AB67="","-",IF($AB67&lt;14,"REPONER",IF($AB67&gt;84,"SOBRE-STOCK","EN RANGO"))))))))</f>
        <v>EN RANGO</v>
      </c>
    </row>
    <row r="68" customFormat="false" ht="15" hidden="false" customHeight="false" outlineLevel="0" collapsed="false">
      <c r="A68" s="4" t="s">
        <v>94</v>
      </c>
      <c r="B68" s="23" t="s">
        <v>344</v>
      </c>
      <c r="C68" s="23" t="s">
        <v>345</v>
      </c>
      <c r="D68" s="23" t="s">
        <v>346</v>
      </c>
      <c r="E68" s="23" t="s">
        <v>347</v>
      </c>
      <c r="F68" s="23" t="n">
        <v>15</v>
      </c>
      <c r="G68" s="23" t="n">
        <v>0</v>
      </c>
      <c r="H68" s="23" t="n">
        <v>6</v>
      </c>
      <c r="I68" s="24" t="n">
        <f aca="false">ROUND($H68/30,2)</f>
        <v>0.2</v>
      </c>
      <c r="J68" s="25" t="n">
        <f aca="false">IF($Z68="CENSURADO",ROUND($T68/MAX($V68,3),2),ROUND($T68/$G$3,2))</f>
        <v>0.25</v>
      </c>
      <c r="K68" s="24" t="n">
        <f aca="false">ROUNDUP($J68*$C$3*7,0)</f>
        <v>6</v>
      </c>
      <c r="L68" s="24" t="n">
        <f aca="false">MAX(0,$K68-$F68-$G68)</f>
        <v>0</v>
      </c>
      <c r="M68" s="23" t="n">
        <v>346</v>
      </c>
      <c r="N68" s="23" t="n">
        <v>178</v>
      </c>
      <c r="O68" s="24" t="n">
        <f aca="false">$M68+$N68</f>
        <v>524</v>
      </c>
      <c r="P68" s="25" t="n">
        <f aca="false">MIN($L68,$O68)</f>
        <v>0</v>
      </c>
      <c r="Q68" s="23" t="s">
        <v>99</v>
      </c>
      <c r="R68" s="23" t="n">
        <v>1</v>
      </c>
      <c r="S68" s="23" t="s">
        <v>100</v>
      </c>
      <c r="T68" s="23" t="n">
        <v>8</v>
      </c>
      <c r="U68" s="23" t="n">
        <v>5</v>
      </c>
      <c r="V68" s="23" t="n">
        <v>25</v>
      </c>
      <c r="W68" s="23" t="n">
        <v>1</v>
      </c>
      <c r="X68" s="23" t="n">
        <v>15</v>
      </c>
      <c r="Y68" s="24" t="n">
        <f aca="false">IF($X68=0,"",ROUND($H68/$X68,2))</f>
        <v>0.4</v>
      </c>
      <c r="Z68" s="24" t="str">
        <f aca="false">IF(AND($F68=0,$T68&gt;=5,$W68&gt;=3),"CENSURADO",IF(AND($Y68&lt;&gt;"",$Y68&gt;=3,$T68&gt;=10),"CENSURADO",IF($T68=0,"SIN DATO","CONFIABLE")))</f>
        <v>CONFIABLE</v>
      </c>
      <c r="AA68" s="24" t="n">
        <f aca="false">IF($I68=0,"",ROUND($J68/MAX($I68,0.01),2))</f>
        <v>1.25</v>
      </c>
      <c r="AB68" s="24" t="n">
        <f aca="false">IF($J68&lt;=0,"",ROUND(($F68+$G68)/$J68,0))</f>
        <v>60</v>
      </c>
      <c r="AC68" s="26" t="n">
        <f aca="false">IF($AB68="","",$J$3+$AB68)</f>
        <v>46305</v>
      </c>
      <c r="AD68" s="23" t="n">
        <v>0</v>
      </c>
      <c r="AE68" s="23" t="n">
        <v>0</v>
      </c>
      <c r="AF68" s="23" t="n">
        <v>0</v>
      </c>
      <c r="AG68" s="24" t="str">
        <f aca="false">IF($AF68=0,"",MAX(0,180-$AE68))</f>
        <v/>
      </c>
      <c r="AH68" s="27" t="n">
        <v>0</v>
      </c>
      <c r="AI68" s="28" t="str">
        <f aca="false">IF($AF68=0,"",$AF68*$Q$3-$AF68*$N$3)</f>
        <v/>
      </c>
      <c r="AJ68" s="23" t="n">
        <v>48.4</v>
      </c>
      <c r="AK68" s="28" t="n">
        <f aca="false">ROUND($F68*$AJ68,0)</f>
        <v>726</v>
      </c>
      <c r="AL68" s="25" t="str">
        <f aca="false">IF(AND($F68=0,$T68&gt;0,$O68=0),"QUIEBRE Y SIN STOCK PARA ENVIAR",IF(AND($F68=0,$T68&gt;0),"QUIEBRE",IF($F68=0,"SIN STOCK SIN DEMANDA",IF(AND($AF68&gt;0,$AG68&lt;&gt;"",OR($AB68="",$AB68&gt;$AG68)),"STOCK VIEJO EN RIESGO",IF(AND($T68=0,$H68=0),"SIN ROTACION",IF($AB68="","-",IF($AB68&lt;14,"REPONER",IF($AB68&gt;84,"SOBRE-STOCK","EN RANGO"))))))))</f>
        <v>EN RANGO</v>
      </c>
    </row>
    <row r="69" customFormat="false" ht="15" hidden="false" customHeight="false" outlineLevel="0" collapsed="false">
      <c r="A69" s="4" t="s">
        <v>94</v>
      </c>
      <c r="B69" s="23" t="s">
        <v>348</v>
      </c>
      <c r="C69" s="23" t="s">
        <v>349</v>
      </c>
      <c r="D69" s="23" t="s">
        <v>350</v>
      </c>
      <c r="E69" s="23" t="s">
        <v>351</v>
      </c>
      <c r="F69" s="23" t="n">
        <v>12</v>
      </c>
      <c r="G69" s="23" t="n">
        <v>5</v>
      </c>
      <c r="H69" s="23" t="n">
        <v>7</v>
      </c>
      <c r="I69" s="24" t="n">
        <f aca="false">ROUND($H69/30,2)</f>
        <v>0.23</v>
      </c>
      <c r="J69" s="25" t="n">
        <f aca="false">IF($Z69="CENSURADO",ROUND($T69/MAX($V69,3),2),ROUND($T69/$G$3,2))</f>
        <v>0.25</v>
      </c>
      <c r="K69" s="24" t="n">
        <f aca="false">ROUNDUP($J69*$C$3*7,0)</f>
        <v>6</v>
      </c>
      <c r="L69" s="24" t="n">
        <f aca="false">MAX(0,$K69-$F69-$G69)</f>
        <v>0</v>
      </c>
      <c r="M69" s="23" t="n">
        <v>607</v>
      </c>
      <c r="N69" s="23" t="n">
        <v>193</v>
      </c>
      <c r="O69" s="24" t="n">
        <f aca="false">$M69+$N69</f>
        <v>800</v>
      </c>
      <c r="P69" s="25" t="n">
        <f aca="false">MIN($L69,$O69)</f>
        <v>0</v>
      </c>
      <c r="Q69" s="23" t="s">
        <v>99</v>
      </c>
      <c r="R69" s="23" t="n">
        <v>1</v>
      </c>
      <c r="S69" s="23" t="s">
        <v>100</v>
      </c>
      <c r="T69" s="23" t="n">
        <v>8</v>
      </c>
      <c r="U69" s="23" t="n">
        <v>7</v>
      </c>
      <c r="V69" s="23" t="n">
        <v>24</v>
      </c>
      <c r="W69" s="23" t="n">
        <v>2</v>
      </c>
      <c r="X69" s="23" t="n">
        <v>16</v>
      </c>
      <c r="Y69" s="24" t="n">
        <f aca="false">IF($X69=0,"",ROUND($H69/$X69,2))</f>
        <v>0.44</v>
      </c>
      <c r="Z69" s="24" t="str">
        <f aca="false">IF(AND($F69=0,$T69&gt;=5,$W69&gt;=3),"CENSURADO",IF(AND($Y69&lt;&gt;"",$Y69&gt;=3,$T69&gt;=10),"CENSURADO",IF($T69=0,"SIN DATO","CONFIABLE")))</f>
        <v>CONFIABLE</v>
      </c>
      <c r="AA69" s="24" t="n">
        <f aca="false">IF($I69=0,"",ROUND($J69/MAX($I69,0.01),2))</f>
        <v>1.09</v>
      </c>
      <c r="AB69" s="24" t="n">
        <f aca="false">IF($J69&lt;=0,"",ROUND(($F69+$G69)/$J69,0))</f>
        <v>68</v>
      </c>
      <c r="AC69" s="26" t="n">
        <f aca="false">IF($AB69="","",$J$3+$AB69)</f>
        <v>46313</v>
      </c>
      <c r="AD69" s="23" t="n">
        <v>0</v>
      </c>
      <c r="AE69" s="23" t="n">
        <v>0</v>
      </c>
      <c r="AF69" s="23" t="n">
        <v>0</v>
      </c>
      <c r="AG69" s="24" t="str">
        <f aca="false">IF($AF69=0,"",MAX(0,180-$AE69))</f>
        <v/>
      </c>
      <c r="AH69" s="27" t="n">
        <v>0</v>
      </c>
      <c r="AI69" s="28" t="str">
        <f aca="false">IF($AF69=0,"",$AF69*$Q$3-$AF69*$N$3)</f>
        <v/>
      </c>
      <c r="AJ69" s="23" t="n">
        <v>4.49</v>
      </c>
      <c r="AK69" s="28" t="n">
        <f aca="false">ROUND($F69*$AJ69,0)</f>
        <v>54</v>
      </c>
      <c r="AL69" s="25" t="str">
        <f aca="false">IF(AND($F69=0,$T69&gt;0,$O69=0),"QUIEBRE Y SIN STOCK PARA ENVIAR",IF(AND($F69=0,$T69&gt;0),"QUIEBRE",IF($F69=0,"SIN STOCK SIN DEMANDA",IF(AND($AF69&gt;0,$AG69&lt;&gt;"",OR($AB69="",$AB69&gt;$AG69)),"STOCK VIEJO EN RIESGO",IF(AND($T69=0,$H69=0),"SIN ROTACION",IF($AB69="","-",IF($AB69&lt;14,"REPONER",IF($AB69&gt;84,"SOBRE-STOCK","EN RANGO"))))))))</f>
        <v>EN RANGO</v>
      </c>
    </row>
    <row r="70" customFormat="false" ht="15" hidden="false" customHeight="false" outlineLevel="0" collapsed="false">
      <c r="A70" s="4" t="s">
        <v>94</v>
      </c>
      <c r="B70" s="23" t="s">
        <v>352</v>
      </c>
      <c r="C70" s="23" t="s">
        <v>353</v>
      </c>
      <c r="D70" s="23" t="s">
        <v>354</v>
      </c>
      <c r="E70" s="23" t="s">
        <v>355</v>
      </c>
      <c r="F70" s="23" t="n">
        <v>0</v>
      </c>
      <c r="G70" s="23" t="n">
        <v>0</v>
      </c>
      <c r="H70" s="23" t="n">
        <v>0</v>
      </c>
      <c r="I70" s="24" t="n">
        <f aca="false">ROUND($H70/30,2)</f>
        <v>0</v>
      </c>
      <c r="J70" s="25" t="n">
        <f aca="false">IF($Z70="CENSURADO",ROUND($T70/MAX($V70,3),2),ROUND($T70/$G$3,2))</f>
        <v>0.25</v>
      </c>
      <c r="K70" s="24" t="n">
        <f aca="false">ROUNDUP($J70*$C$3*7,0)</f>
        <v>6</v>
      </c>
      <c r="L70" s="24" t="n">
        <f aca="false">MAX(0,$K70-$F70-$G70)</f>
        <v>6</v>
      </c>
      <c r="M70" s="23" t="n">
        <v>1248</v>
      </c>
      <c r="N70" s="23" t="n">
        <v>1365</v>
      </c>
      <c r="O70" s="24" t="n">
        <f aca="false">$M70+$N70</f>
        <v>2613</v>
      </c>
      <c r="P70" s="25" t="n">
        <f aca="false">MIN($L70,$O70)</f>
        <v>6</v>
      </c>
      <c r="Q70" s="23" t="s">
        <v>99</v>
      </c>
      <c r="R70" s="23" t="n">
        <v>1</v>
      </c>
      <c r="S70" s="23" t="s">
        <v>100</v>
      </c>
      <c r="T70" s="23" t="n">
        <v>8</v>
      </c>
      <c r="U70" s="23" t="n">
        <v>3</v>
      </c>
      <c r="V70" s="23" t="n">
        <v>7</v>
      </c>
      <c r="W70" s="23" t="n">
        <v>1</v>
      </c>
      <c r="X70" s="23" t="n">
        <v>0</v>
      </c>
      <c r="Y70" s="24" t="str">
        <f aca="false">IF($X70=0,"",ROUND($H70/$X70,2))</f>
        <v/>
      </c>
      <c r="Z70" s="24" t="str">
        <f aca="false">IF(AND($F70=0,$T70&gt;=5,$W70&gt;=3),"CENSURADO",IF(AND($Y70&lt;&gt;"",$Y70&gt;=3,$T70&gt;=10),"CENSURADO",IF($T70=0,"SIN DATO","CONFIABLE")))</f>
        <v>CONFIABLE</v>
      </c>
      <c r="AA70" s="24" t="str">
        <f aca="false">IF($I70=0,"",ROUND($J70/MAX($I70,0.01),2))</f>
        <v/>
      </c>
      <c r="AB70" s="24" t="n">
        <f aca="false">IF($J70&lt;=0,"",ROUND(($F70+$G70)/$J70,0))</f>
        <v>0</v>
      </c>
      <c r="AC70" s="26" t="n">
        <f aca="false">IF($AB70="","",$J$3+$AB70)</f>
        <v>46245</v>
      </c>
      <c r="AD70" s="23" t="n">
        <v>0</v>
      </c>
      <c r="AE70" s="23" t="n">
        <v>0</v>
      </c>
      <c r="AF70" s="23" t="n">
        <v>0</v>
      </c>
      <c r="AG70" s="24" t="str">
        <f aca="false">IF($AF70=0,"",MAX(0,180-$AE70))</f>
        <v/>
      </c>
      <c r="AH70" s="27" t="n">
        <v>0</v>
      </c>
      <c r="AI70" s="28" t="str">
        <f aca="false">IF($AF70=0,"",$AF70*$Q$3-$AF70*$N$3)</f>
        <v/>
      </c>
      <c r="AJ70" s="23" t="n">
        <v>0.45</v>
      </c>
      <c r="AK70" s="28" t="n">
        <f aca="false">ROUND($F70*$AJ70,0)</f>
        <v>0</v>
      </c>
      <c r="AL70" s="25" t="str">
        <f aca="false">IF(AND($F70=0,$T70&gt;0,$O70=0),"QUIEBRE Y SIN STOCK PARA ENVIAR",IF(AND($F70=0,$T70&gt;0),"QUIEBRE",IF($F70=0,"SIN STOCK SIN DEMANDA",IF(AND($AF70&gt;0,$AG70&lt;&gt;"",OR($AB70="",$AB70&gt;$AG70)),"STOCK VIEJO EN RIESGO",IF(AND($T70=0,$H70=0),"SIN ROTACION",IF($AB70="","-",IF($AB70&lt;14,"REPONER",IF($AB70&gt;84,"SOBRE-STOCK","EN RANGO"))))))))</f>
        <v>QUIEBRE</v>
      </c>
    </row>
    <row r="71" customFormat="false" ht="15" hidden="false" customHeight="false" outlineLevel="0" collapsed="false">
      <c r="A71" s="4" t="s">
        <v>94</v>
      </c>
      <c r="B71" s="23" t="s">
        <v>356</v>
      </c>
      <c r="C71" s="23" t="s">
        <v>357</v>
      </c>
      <c r="D71" s="23" t="s">
        <v>358</v>
      </c>
      <c r="E71" s="23" t="s">
        <v>359</v>
      </c>
      <c r="F71" s="23" t="n">
        <v>17</v>
      </c>
      <c r="G71" s="23" t="n">
        <v>0</v>
      </c>
      <c r="H71" s="23" t="n">
        <v>2</v>
      </c>
      <c r="I71" s="24" t="n">
        <f aca="false">ROUND($H71/30,2)</f>
        <v>0.07</v>
      </c>
      <c r="J71" s="25" t="n">
        <f aca="false">IF($Z71="CENSURADO",ROUND($T71/MAX($V71,3),2),ROUND($T71/$G$3,2))</f>
        <v>0.25</v>
      </c>
      <c r="K71" s="24" t="n">
        <f aca="false">ROUNDUP($J71*$C$3*7,0)</f>
        <v>6</v>
      </c>
      <c r="L71" s="24" t="n">
        <f aca="false">MAX(0,$K71-$F71-$G71)</f>
        <v>0</v>
      </c>
      <c r="M71" s="23" t="n">
        <v>21</v>
      </c>
      <c r="N71" s="23" t="n">
        <v>35</v>
      </c>
      <c r="O71" s="24" t="n">
        <f aca="false">$M71+$N71</f>
        <v>56</v>
      </c>
      <c r="P71" s="25" t="n">
        <f aca="false">MIN($L71,$O71)</f>
        <v>0</v>
      </c>
      <c r="Q71" s="23" t="s">
        <v>99</v>
      </c>
      <c r="R71" s="23" t="n">
        <v>1</v>
      </c>
      <c r="S71" s="23" t="s">
        <v>133</v>
      </c>
      <c r="T71" s="23" t="n">
        <v>8</v>
      </c>
      <c r="U71" s="23" t="n">
        <v>3</v>
      </c>
      <c r="V71" s="23" t="n">
        <v>27</v>
      </c>
      <c r="W71" s="23" t="n">
        <v>5</v>
      </c>
      <c r="X71" s="23" t="n">
        <v>18</v>
      </c>
      <c r="Y71" s="24" t="n">
        <f aca="false">IF($X71=0,"",ROUND($H71/$X71,2))</f>
        <v>0.11</v>
      </c>
      <c r="Z71" s="24" t="str">
        <f aca="false">IF(AND($F71=0,$T71&gt;=5,$W71&gt;=3),"CENSURADO",IF(AND($Y71&lt;&gt;"",$Y71&gt;=3,$T71&gt;=10),"CENSURADO",IF($T71=0,"SIN DATO","CONFIABLE")))</f>
        <v>CONFIABLE</v>
      </c>
      <c r="AA71" s="24" t="n">
        <f aca="false">IF($I71=0,"",ROUND($J71/MAX($I71,0.01),2))</f>
        <v>3.57</v>
      </c>
      <c r="AB71" s="24" t="n">
        <f aca="false">IF($J71&lt;=0,"",ROUND(($F71+$G71)/$J71,0))</f>
        <v>68</v>
      </c>
      <c r="AC71" s="26" t="n">
        <f aca="false">IF($AB71="","",$J$3+$AB71)</f>
        <v>46313</v>
      </c>
      <c r="AD71" s="23" t="n">
        <v>0</v>
      </c>
      <c r="AE71" s="23" t="n">
        <v>0</v>
      </c>
      <c r="AF71" s="23" t="n">
        <v>0</v>
      </c>
      <c r="AG71" s="24" t="str">
        <f aca="false">IF($AF71=0,"",MAX(0,180-$AE71))</f>
        <v/>
      </c>
      <c r="AH71" s="27" t="n">
        <v>0</v>
      </c>
      <c r="AI71" s="28" t="str">
        <f aca="false">IF($AF71=0,"",$AF71*$Q$3-$AF71*$N$3)</f>
        <v/>
      </c>
      <c r="AJ71" s="23" t="n">
        <v>9.43</v>
      </c>
      <c r="AK71" s="28" t="n">
        <f aca="false">ROUND($F71*$AJ71,0)</f>
        <v>160</v>
      </c>
      <c r="AL71" s="25" t="str">
        <f aca="false">IF(AND($F71=0,$T71&gt;0,$O71=0),"QUIEBRE Y SIN STOCK PARA ENVIAR",IF(AND($F71=0,$T71&gt;0),"QUIEBRE",IF($F71=0,"SIN STOCK SIN DEMANDA",IF(AND($AF71&gt;0,$AG71&lt;&gt;"",OR($AB71="",$AB71&gt;$AG71)),"STOCK VIEJO EN RIESGO",IF(AND($T71=0,$H71=0),"SIN ROTACION",IF($AB71="","-",IF($AB71&lt;14,"REPONER",IF($AB71&gt;84,"SOBRE-STOCK","EN RANGO"))))))))</f>
        <v>EN RANGO</v>
      </c>
    </row>
    <row r="72" customFormat="false" ht="15" hidden="false" customHeight="false" outlineLevel="0" collapsed="false">
      <c r="A72" s="4" t="s">
        <v>94</v>
      </c>
      <c r="B72" s="23" t="s">
        <v>360</v>
      </c>
      <c r="C72" s="23" t="s">
        <v>361</v>
      </c>
      <c r="D72" s="23" t="s">
        <v>362</v>
      </c>
      <c r="E72" s="23" t="s">
        <v>363</v>
      </c>
      <c r="F72" s="23" t="n">
        <v>0</v>
      </c>
      <c r="G72" s="23" t="n">
        <v>5</v>
      </c>
      <c r="H72" s="23" t="n">
        <v>7</v>
      </c>
      <c r="I72" s="24" t="n">
        <f aca="false">ROUND($H72/30,2)</f>
        <v>0.23</v>
      </c>
      <c r="J72" s="25" t="n">
        <f aca="false">IF($Z72="CENSURADO",ROUND($T72/MAX($V72,3),2),ROUND($T72/$G$3,2))</f>
        <v>1.4</v>
      </c>
      <c r="K72" s="24" t="n">
        <f aca="false">ROUNDUP($J72*$C$3*7,0)</f>
        <v>30</v>
      </c>
      <c r="L72" s="24" t="n">
        <f aca="false">MAX(0,$K72-$F72-$G72)</f>
        <v>25</v>
      </c>
      <c r="M72" s="23" t="n">
        <v>0</v>
      </c>
      <c r="N72" s="23" t="n">
        <v>10</v>
      </c>
      <c r="O72" s="24" t="n">
        <f aca="false">$M72+$N72</f>
        <v>10</v>
      </c>
      <c r="P72" s="25" t="n">
        <f aca="false">MIN($L72,$O72)</f>
        <v>10</v>
      </c>
      <c r="Q72" s="23" t="s">
        <v>99</v>
      </c>
      <c r="R72" s="23" t="n">
        <v>1</v>
      </c>
      <c r="S72" s="23" t="s">
        <v>100</v>
      </c>
      <c r="T72" s="23" t="n">
        <v>7</v>
      </c>
      <c r="U72" s="23" t="n">
        <v>3</v>
      </c>
      <c r="V72" s="23" t="n">
        <v>5</v>
      </c>
      <c r="W72" s="23" t="n">
        <v>25</v>
      </c>
      <c r="X72" s="23" t="n">
        <v>1</v>
      </c>
      <c r="Y72" s="24" t="n">
        <f aca="false">IF($X72=0,"",ROUND($H72/$X72,2))</f>
        <v>7</v>
      </c>
      <c r="Z72" s="24" t="str">
        <f aca="false">IF(AND($F72=0,$T72&gt;=5,$W72&gt;=3),"CENSURADO",IF(AND($Y72&lt;&gt;"",$Y72&gt;=3,$T72&gt;=10),"CENSURADO",IF($T72=0,"SIN DATO","CONFIABLE")))</f>
        <v>CENSURADO</v>
      </c>
      <c r="AA72" s="24" t="n">
        <f aca="false">IF($I72=0,"",ROUND($J72/MAX($I72,0.01),2))</f>
        <v>6.09</v>
      </c>
      <c r="AB72" s="24" t="n">
        <f aca="false">IF($J72&lt;=0,"",ROUND(($F72+$G72)/$J72,0))</f>
        <v>4</v>
      </c>
      <c r="AC72" s="26" t="n">
        <f aca="false">IF($AB72="","",$J$3+$AB72)</f>
        <v>46249</v>
      </c>
      <c r="AD72" s="23" t="n">
        <v>0</v>
      </c>
      <c r="AE72" s="23" t="n">
        <v>0</v>
      </c>
      <c r="AF72" s="23" t="n">
        <v>0</v>
      </c>
      <c r="AG72" s="24" t="str">
        <f aca="false">IF($AF72=0,"",MAX(0,180-$AE72))</f>
        <v/>
      </c>
      <c r="AH72" s="27" t="n">
        <v>0</v>
      </c>
      <c r="AI72" s="28" t="str">
        <f aca="false">IF($AF72=0,"",$AF72*$Q$3-$AF72*$N$3)</f>
        <v/>
      </c>
      <c r="AJ72" s="23" t="n">
        <v>0</v>
      </c>
      <c r="AK72" s="28" t="n">
        <f aca="false">ROUND($F72*$AJ72,0)</f>
        <v>0</v>
      </c>
      <c r="AL72" s="25" t="str">
        <f aca="false">IF(AND($F72=0,$T72&gt;0,$O72=0),"QUIEBRE Y SIN STOCK PARA ENVIAR",IF(AND($F72=0,$T72&gt;0),"QUIEBRE",IF($F72=0,"SIN STOCK SIN DEMANDA",IF(AND($AF72&gt;0,$AG72&lt;&gt;"",OR($AB72="",$AB72&gt;$AG72)),"STOCK VIEJO EN RIESGO",IF(AND($T72=0,$H72=0),"SIN ROTACION",IF($AB72="","-",IF($AB72&lt;14,"REPONER",IF($AB72&gt;84,"SOBRE-STOCK","EN RANGO"))))))))</f>
        <v>QUIEBRE</v>
      </c>
    </row>
    <row r="73" customFormat="false" ht="15" hidden="false" customHeight="false" outlineLevel="0" collapsed="false">
      <c r="A73" s="4" t="s">
        <v>94</v>
      </c>
      <c r="B73" s="23" t="s">
        <v>364</v>
      </c>
      <c r="C73" s="23" t="s">
        <v>365</v>
      </c>
      <c r="D73" s="23" t="s">
        <v>366</v>
      </c>
      <c r="E73" s="23" t="s">
        <v>367</v>
      </c>
      <c r="F73" s="23" t="n">
        <v>9</v>
      </c>
      <c r="G73" s="23" t="n">
        <v>0</v>
      </c>
      <c r="H73" s="23" t="n">
        <v>6</v>
      </c>
      <c r="I73" s="24" t="n">
        <f aca="false">ROUND($H73/30,2)</f>
        <v>0.2</v>
      </c>
      <c r="J73" s="25" t="n">
        <f aca="false">IF($Z73="CENSURADO",ROUND($T73/MAX($V73,3),2),ROUND($T73/$G$3,2))</f>
        <v>0.22</v>
      </c>
      <c r="K73" s="24" t="n">
        <f aca="false">ROUNDUP($J73*$C$3*7,0)</f>
        <v>5</v>
      </c>
      <c r="L73" s="24" t="n">
        <f aca="false">MAX(0,$K73-$F73-$G73)</f>
        <v>0</v>
      </c>
      <c r="M73" s="23" t="n">
        <v>467</v>
      </c>
      <c r="N73" s="23" t="n">
        <v>101</v>
      </c>
      <c r="O73" s="24" t="n">
        <f aca="false">$M73+$N73</f>
        <v>568</v>
      </c>
      <c r="P73" s="25" t="n">
        <f aca="false">MIN($L73,$O73)</f>
        <v>0</v>
      </c>
      <c r="Q73" s="23" t="s">
        <v>99</v>
      </c>
      <c r="R73" s="23" t="n">
        <v>1</v>
      </c>
      <c r="S73" s="23" t="s">
        <v>100</v>
      </c>
      <c r="T73" s="23" t="n">
        <v>7</v>
      </c>
      <c r="U73" s="23" t="n">
        <v>5</v>
      </c>
      <c r="V73" s="23" t="n">
        <v>23</v>
      </c>
      <c r="W73" s="23" t="n">
        <v>0</v>
      </c>
      <c r="X73" s="23" t="n">
        <v>12</v>
      </c>
      <c r="Y73" s="24" t="n">
        <f aca="false">IF($X73=0,"",ROUND($H73/$X73,2))</f>
        <v>0.5</v>
      </c>
      <c r="Z73" s="24" t="str">
        <f aca="false">IF(AND($F73=0,$T73&gt;=5,$W73&gt;=3),"CENSURADO",IF(AND($Y73&lt;&gt;"",$Y73&gt;=3,$T73&gt;=10),"CENSURADO",IF($T73=0,"SIN DATO","CONFIABLE")))</f>
        <v>CONFIABLE</v>
      </c>
      <c r="AA73" s="24" t="n">
        <f aca="false">IF($I73=0,"",ROUND($J73/MAX($I73,0.01),2))</f>
        <v>1.1</v>
      </c>
      <c r="AB73" s="24" t="n">
        <f aca="false">IF($J73&lt;=0,"",ROUND(($F73+$G73)/$J73,0))</f>
        <v>41</v>
      </c>
      <c r="AC73" s="26" t="n">
        <f aca="false">IF($AB73="","",$J$3+$AB73)</f>
        <v>46286</v>
      </c>
      <c r="AD73" s="23" t="n">
        <v>0</v>
      </c>
      <c r="AE73" s="23" t="n">
        <v>129</v>
      </c>
      <c r="AF73" s="23" t="n">
        <v>6</v>
      </c>
      <c r="AG73" s="24" t="n">
        <f aca="false">IF($AF73=0,"",MAX(0,180-$AE73))</f>
        <v>51</v>
      </c>
      <c r="AH73" s="27" t="n">
        <v>2820</v>
      </c>
      <c r="AI73" s="28" t="n">
        <f aca="false">IF($AF73=0,"",$AF73*$Q$3-$AF73*$N$3)</f>
        <v>24090</v>
      </c>
      <c r="AJ73" s="23" t="n">
        <v>3.91</v>
      </c>
      <c r="AK73" s="28" t="n">
        <f aca="false">ROUND($F73*$AJ73,0)</f>
        <v>35</v>
      </c>
      <c r="AL73" s="25" t="str">
        <f aca="false">IF(AND($F73=0,$T73&gt;0,$O73=0),"QUIEBRE Y SIN STOCK PARA ENVIAR",IF(AND($F73=0,$T73&gt;0),"QUIEBRE",IF($F73=0,"SIN STOCK SIN DEMANDA",IF(AND($AF73&gt;0,$AG73&lt;&gt;"",OR($AB73="",$AB73&gt;$AG73)),"STOCK VIEJO EN RIESGO",IF(AND($T73=0,$H73=0),"SIN ROTACION",IF($AB73="","-",IF($AB73&lt;14,"REPONER",IF($AB73&gt;84,"SOBRE-STOCK","EN RANGO"))))))))</f>
        <v>EN RANGO</v>
      </c>
    </row>
    <row r="74" customFormat="false" ht="15" hidden="false" customHeight="false" outlineLevel="0" collapsed="false">
      <c r="A74" s="4" t="s">
        <v>94</v>
      </c>
      <c r="B74" s="23" t="s">
        <v>368</v>
      </c>
      <c r="C74" s="23" t="s">
        <v>369</v>
      </c>
      <c r="D74" s="23" t="s">
        <v>370</v>
      </c>
      <c r="E74" s="23" t="s">
        <v>371</v>
      </c>
      <c r="F74" s="23" t="n">
        <v>10</v>
      </c>
      <c r="G74" s="23" t="n">
        <v>5</v>
      </c>
      <c r="H74" s="23" t="n">
        <v>5</v>
      </c>
      <c r="I74" s="24" t="n">
        <f aca="false">ROUND($H74/30,2)</f>
        <v>0.17</v>
      </c>
      <c r="J74" s="25" t="n">
        <f aca="false">IF($Z74="CENSURADO",ROUND($T74/MAX($V74,3),2),ROUND($T74/$G$3,2))</f>
        <v>0.22</v>
      </c>
      <c r="K74" s="24" t="n">
        <f aca="false">ROUNDUP($J74*$C$3*7,0)</f>
        <v>5</v>
      </c>
      <c r="L74" s="24" t="n">
        <f aca="false">MAX(0,$K74-$F74-$G74)</f>
        <v>0</v>
      </c>
      <c r="M74" s="23" t="n">
        <v>691</v>
      </c>
      <c r="N74" s="23" t="n">
        <v>439</v>
      </c>
      <c r="O74" s="24" t="n">
        <f aca="false">$M74+$N74</f>
        <v>1130</v>
      </c>
      <c r="P74" s="25" t="n">
        <f aca="false">MIN($L74,$O74)</f>
        <v>0</v>
      </c>
      <c r="Q74" s="23" t="s">
        <v>99</v>
      </c>
      <c r="R74" s="23" t="n">
        <v>1</v>
      </c>
      <c r="S74" s="23" t="s">
        <v>100</v>
      </c>
      <c r="T74" s="23" t="n">
        <v>7</v>
      </c>
      <c r="U74" s="23" t="n">
        <v>6</v>
      </c>
      <c r="V74" s="23" t="n">
        <v>20</v>
      </c>
      <c r="W74" s="23" t="n">
        <v>1</v>
      </c>
      <c r="X74" s="23" t="n">
        <v>12</v>
      </c>
      <c r="Y74" s="24" t="n">
        <f aca="false">IF($X74=0,"",ROUND($H74/$X74,2))</f>
        <v>0.42</v>
      </c>
      <c r="Z74" s="24" t="str">
        <f aca="false">IF(AND($F74=0,$T74&gt;=5,$W74&gt;=3),"CENSURADO",IF(AND($Y74&lt;&gt;"",$Y74&gt;=3,$T74&gt;=10),"CENSURADO",IF($T74=0,"SIN DATO","CONFIABLE")))</f>
        <v>CONFIABLE</v>
      </c>
      <c r="AA74" s="24" t="n">
        <f aca="false">IF($I74=0,"",ROUND($J74/MAX($I74,0.01),2))</f>
        <v>1.29</v>
      </c>
      <c r="AB74" s="24" t="n">
        <f aca="false">IF($J74&lt;=0,"",ROUND(($F74+$G74)/$J74,0))</f>
        <v>68</v>
      </c>
      <c r="AC74" s="26" t="n">
        <f aca="false">IF($AB74="","",$J$3+$AB74)</f>
        <v>46313</v>
      </c>
      <c r="AD74" s="23" t="n">
        <v>0</v>
      </c>
      <c r="AE74" s="23" t="n">
        <v>0</v>
      </c>
      <c r="AF74" s="23" t="n">
        <v>0</v>
      </c>
      <c r="AG74" s="24" t="str">
        <f aca="false">IF($AF74=0,"",MAX(0,180-$AE74))</f>
        <v/>
      </c>
      <c r="AH74" s="27" t="n">
        <v>0</v>
      </c>
      <c r="AI74" s="28" t="str">
        <f aca="false">IF($AF74=0,"",$AF74*$Q$3-$AF74*$N$3)</f>
        <v/>
      </c>
      <c r="AJ74" s="23" t="n">
        <v>5.75</v>
      </c>
      <c r="AK74" s="28" t="n">
        <f aca="false">ROUND($F74*$AJ74,0)</f>
        <v>58</v>
      </c>
      <c r="AL74" s="25" t="str">
        <f aca="false">IF(AND($F74=0,$T74&gt;0,$O74=0),"QUIEBRE Y SIN STOCK PARA ENVIAR",IF(AND($F74=0,$T74&gt;0),"QUIEBRE",IF($F74=0,"SIN STOCK SIN DEMANDA",IF(AND($AF74&gt;0,$AG74&lt;&gt;"",OR($AB74="",$AB74&gt;$AG74)),"STOCK VIEJO EN RIESGO",IF(AND($T74=0,$H74=0),"SIN ROTACION",IF($AB74="","-",IF($AB74&lt;14,"REPONER",IF($AB74&gt;84,"SOBRE-STOCK","EN RANGO"))))))))</f>
        <v>EN RANGO</v>
      </c>
    </row>
    <row r="75" customFormat="false" ht="15" hidden="false" customHeight="false" outlineLevel="0" collapsed="false">
      <c r="A75" s="4" t="s">
        <v>94</v>
      </c>
      <c r="B75" s="23" t="s">
        <v>372</v>
      </c>
      <c r="C75" s="23" t="s">
        <v>373</v>
      </c>
      <c r="D75" s="23" t="s">
        <v>374</v>
      </c>
      <c r="E75" s="23" t="s">
        <v>375</v>
      </c>
      <c r="F75" s="23" t="n">
        <v>30</v>
      </c>
      <c r="G75" s="23" t="n">
        <v>5</v>
      </c>
      <c r="H75" s="23" t="n">
        <v>3</v>
      </c>
      <c r="I75" s="24" t="n">
        <f aca="false">ROUND($H75/30,2)</f>
        <v>0.1</v>
      </c>
      <c r="J75" s="25" t="n">
        <f aca="false">IF($Z75="CENSURADO",ROUND($T75/MAX($V75,3),2),ROUND($T75/$G$3,2))</f>
        <v>0.19</v>
      </c>
      <c r="K75" s="24" t="n">
        <f aca="false">ROUNDUP($J75*$C$3*7,0)</f>
        <v>4</v>
      </c>
      <c r="L75" s="24" t="n">
        <f aca="false">MAX(0,$K75-$F75-$G75)</f>
        <v>0</v>
      </c>
      <c r="M75" s="23" t="n">
        <v>9</v>
      </c>
      <c r="N75" s="23" t="n">
        <v>74</v>
      </c>
      <c r="O75" s="24" t="n">
        <f aca="false">$M75+$N75</f>
        <v>83</v>
      </c>
      <c r="P75" s="25" t="n">
        <f aca="false">MIN($L75,$O75)</f>
        <v>0</v>
      </c>
      <c r="Q75" s="23" t="s">
        <v>99</v>
      </c>
      <c r="R75" s="23" t="n">
        <v>1</v>
      </c>
      <c r="S75" s="23" t="s">
        <v>133</v>
      </c>
      <c r="T75" s="23" t="n">
        <v>6</v>
      </c>
      <c r="U75" s="23" t="n">
        <v>5</v>
      </c>
      <c r="V75" s="23" t="n">
        <v>24</v>
      </c>
      <c r="W75" s="23" t="n">
        <v>1</v>
      </c>
      <c r="X75" s="23" t="n">
        <v>31</v>
      </c>
      <c r="Y75" s="24" t="n">
        <f aca="false">IF($X75=0,"",ROUND($H75/$X75,2))</f>
        <v>0.1</v>
      </c>
      <c r="Z75" s="24" t="str">
        <f aca="false">IF(AND($F75=0,$T75&gt;=5,$W75&gt;=3),"CENSURADO",IF(AND($Y75&lt;&gt;"",$Y75&gt;=3,$T75&gt;=10),"CENSURADO",IF($T75=0,"SIN DATO","CONFIABLE")))</f>
        <v>CONFIABLE</v>
      </c>
      <c r="AA75" s="24" t="n">
        <f aca="false">IF($I75=0,"",ROUND($J75/MAX($I75,0.01),2))</f>
        <v>1.9</v>
      </c>
      <c r="AB75" s="24" t="n">
        <f aca="false">IF($J75&lt;=0,"",ROUND(($F75+$G75)/$J75,0))</f>
        <v>184</v>
      </c>
      <c r="AC75" s="26" t="n">
        <f aca="false">IF($AB75="","",$J$3+$AB75)</f>
        <v>46429</v>
      </c>
      <c r="AD75" s="23" t="n">
        <v>0</v>
      </c>
      <c r="AE75" s="23" t="n">
        <v>0</v>
      </c>
      <c r="AF75" s="23" t="n">
        <v>0</v>
      </c>
      <c r="AG75" s="24" t="str">
        <f aca="false">IF($AF75=0,"",MAX(0,180-$AE75))</f>
        <v/>
      </c>
      <c r="AH75" s="27" t="n">
        <v>0</v>
      </c>
      <c r="AI75" s="28" t="str">
        <f aca="false">IF($AF75=0,"",$AF75*$Q$3-$AF75*$N$3)</f>
        <v/>
      </c>
      <c r="AJ75" s="23" t="n">
        <v>1.08</v>
      </c>
      <c r="AK75" s="28" t="n">
        <f aca="false">ROUND($F75*$AJ75,0)</f>
        <v>32</v>
      </c>
      <c r="AL75" s="25" t="str">
        <f aca="false">IF(AND($F75=0,$T75&gt;0,$O75=0),"QUIEBRE Y SIN STOCK PARA ENVIAR",IF(AND($F75=0,$T75&gt;0),"QUIEBRE",IF($F75=0,"SIN STOCK SIN DEMANDA",IF(AND($AF75&gt;0,$AG75&lt;&gt;"",OR($AB75="",$AB75&gt;$AG75)),"STOCK VIEJO EN RIESGO",IF(AND($T75=0,$H75=0),"SIN ROTACION",IF($AB75="","-",IF($AB75&lt;14,"REPONER",IF($AB75&gt;84,"SOBRE-STOCK","EN RANGO"))))))))</f>
        <v>SOBRE-STOCK</v>
      </c>
    </row>
    <row r="76" customFormat="false" ht="15" hidden="false" customHeight="false" outlineLevel="0" collapsed="false">
      <c r="A76" s="4" t="s">
        <v>94</v>
      </c>
      <c r="B76" s="23" t="s">
        <v>376</v>
      </c>
      <c r="C76" s="23" t="s">
        <v>377</v>
      </c>
      <c r="D76" s="23" t="s">
        <v>378</v>
      </c>
      <c r="E76" s="23" t="s">
        <v>379</v>
      </c>
      <c r="F76" s="23" t="n">
        <v>67</v>
      </c>
      <c r="G76" s="23" t="n">
        <v>0</v>
      </c>
      <c r="H76" s="23" t="n">
        <v>6</v>
      </c>
      <c r="I76" s="24" t="n">
        <f aca="false">ROUND($H76/30,2)</f>
        <v>0.2</v>
      </c>
      <c r="J76" s="25" t="n">
        <f aca="false">IF($Z76="CENSURADO",ROUND($T76/MAX($V76,3),2),ROUND($T76/$G$3,2))</f>
        <v>0.19</v>
      </c>
      <c r="K76" s="24" t="n">
        <f aca="false">ROUNDUP($J76*$C$3*7,0)</f>
        <v>4</v>
      </c>
      <c r="L76" s="24" t="n">
        <f aca="false">MAX(0,$K76-$F76-$G76)</f>
        <v>0</v>
      </c>
      <c r="M76" s="23" t="n">
        <v>124</v>
      </c>
      <c r="N76" s="23" t="n">
        <v>44</v>
      </c>
      <c r="O76" s="24" t="n">
        <f aca="false">$M76+$N76</f>
        <v>168</v>
      </c>
      <c r="P76" s="25" t="n">
        <f aca="false">MIN($L76,$O76)</f>
        <v>0</v>
      </c>
      <c r="Q76" s="23" t="s">
        <v>99</v>
      </c>
      <c r="R76" s="23" t="n">
        <v>1</v>
      </c>
      <c r="S76" s="23" t="s">
        <v>100</v>
      </c>
      <c r="T76" s="23" t="n">
        <v>6</v>
      </c>
      <c r="U76" s="23" t="n">
        <v>5</v>
      </c>
      <c r="V76" s="23" t="n">
        <v>18</v>
      </c>
      <c r="W76" s="23" t="n">
        <v>3</v>
      </c>
      <c r="X76" s="23" t="n">
        <v>71</v>
      </c>
      <c r="Y76" s="24" t="n">
        <f aca="false">IF($X76=0,"",ROUND($H76/$X76,2))</f>
        <v>0.08</v>
      </c>
      <c r="Z76" s="24" t="str">
        <f aca="false">IF(AND($F76=0,$T76&gt;=5,$W76&gt;=3),"CENSURADO",IF(AND($Y76&lt;&gt;"",$Y76&gt;=3,$T76&gt;=10),"CENSURADO",IF($T76=0,"SIN DATO","CONFIABLE")))</f>
        <v>CONFIABLE</v>
      </c>
      <c r="AA76" s="24" t="n">
        <f aca="false">IF($I76=0,"",ROUND($J76/MAX($I76,0.01),2))</f>
        <v>0.95</v>
      </c>
      <c r="AB76" s="24" t="n">
        <f aca="false">IF($J76&lt;=0,"",ROUND(($F76+$G76)/$J76,0))</f>
        <v>353</v>
      </c>
      <c r="AC76" s="26" t="n">
        <f aca="false">IF($AB76="","",$J$3+$AB76)</f>
        <v>46598</v>
      </c>
      <c r="AD76" s="23" t="n">
        <v>0</v>
      </c>
      <c r="AE76" s="23" t="n">
        <v>0</v>
      </c>
      <c r="AF76" s="23" t="n">
        <v>0</v>
      </c>
      <c r="AG76" s="24" t="str">
        <f aca="false">IF($AF76=0,"",MAX(0,180-$AE76))</f>
        <v/>
      </c>
      <c r="AH76" s="27" t="n">
        <v>0</v>
      </c>
      <c r="AI76" s="28" t="str">
        <f aca="false">IF($AF76=0,"",$AF76*$Q$3-$AF76*$N$3)</f>
        <v/>
      </c>
      <c r="AJ76" s="23" t="n">
        <v>2.56</v>
      </c>
      <c r="AK76" s="28" t="n">
        <f aca="false">ROUND($F76*$AJ76,0)</f>
        <v>172</v>
      </c>
      <c r="AL76" s="25" t="str">
        <f aca="false">IF(AND($F76=0,$T76&gt;0,$O76=0),"QUIEBRE Y SIN STOCK PARA ENVIAR",IF(AND($F76=0,$T76&gt;0),"QUIEBRE",IF($F76=0,"SIN STOCK SIN DEMANDA",IF(AND($AF76&gt;0,$AG76&lt;&gt;"",OR($AB76="",$AB76&gt;$AG76)),"STOCK VIEJO EN RIESGO",IF(AND($T76=0,$H76=0),"SIN ROTACION",IF($AB76="","-",IF($AB76&lt;14,"REPONER",IF($AB76&gt;84,"SOBRE-STOCK","EN RANGO"))))))))</f>
        <v>SOBRE-STOCK</v>
      </c>
    </row>
    <row r="77" customFormat="false" ht="15" hidden="false" customHeight="false" outlineLevel="0" collapsed="false">
      <c r="A77" s="4" t="s">
        <v>94</v>
      </c>
      <c r="B77" s="23" t="s">
        <v>380</v>
      </c>
      <c r="C77" s="23" t="s">
        <v>381</v>
      </c>
      <c r="D77" s="23" t="s">
        <v>382</v>
      </c>
      <c r="E77" s="23" t="s">
        <v>383</v>
      </c>
      <c r="F77" s="23" t="n">
        <v>21</v>
      </c>
      <c r="G77" s="23" t="n">
        <v>0</v>
      </c>
      <c r="H77" s="23" t="n">
        <v>2</v>
      </c>
      <c r="I77" s="24" t="n">
        <f aca="false">ROUND($H77/30,2)</f>
        <v>0.07</v>
      </c>
      <c r="J77" s="25" t="n">
        <f aca="false">IF($Z77="CENSURADO",ROUND($T77/MAX($V77,3),2),ROUND($T77/$G$3,2))</f>
        <v>0.19</v>
      </c>
      <c r="K77" s="24" t="n">
        <f aca="false">ROUNDUP($J77*$C$3*7,0)</f>
        <v>4</v>
      </c>
      <c r="L77" s="24" t="n">
        <f aca="false">MAX(0,$K77-$F77-$G77)</f>
        <v>0</v>
      </c>
      <c r="M77" s="23" t="n">
        <v>2873</v>
      </c>
      <c r="N77" s="23" t="n">
        <v>52</v>
      </c>
      <c r="O77" s="24" t="n">
        <f aca="false">$M77+$N77</f>
        <v>2925</v>
      </c>
      <c r="P77" s="25" t="n">
        <f aca="false">MIN($L77,$O77)</f>
        <v>0</v>
      </c>
      <c r="Q77" s="23" t="s">
        <v>99</v>
      </c>
      <c r="R77" s="23" t="n">
        <v>2</v>
      </c>
      <c r="S77" s="23" t="s">
        <v>133</v>
      </c>
      <c r="T77" s="23" t="n">
        <v>6</v>
      </c>
      <c r="U77" s="23" t="n">
        <v>5</v>
      </c>
      <c r="V77" s="23" t="n">
        <v>23</v>
      </c>
      <c r="W77" s="23" t="n">
        <v>3</v>
      </c>
      <c r="X77" s="23" t="n">
        <v>21</v>
      </c>
      <c r="Y77" s="24" t="n">
        <f aca="false">IF($X77=0,"",ROUND($H77/$X77,2))</f>
        <v>0.1</v>
      </c>
      <c r="Z77" s="24" t="str">
        <f aca="false">IF(AND($F77=0,$T77&gt;=5,$W77&gt;=3),"CENSURADO",IF(AND($Y77&lt;&gt;"",$Y77&gt;=3,$T77&gt;=10),"CENSURADO",IF($T77=0,"SIN DATO","CONFIABLE")))</f>
        <v>CONFIABLE</v>
      </c>
      <c r="AA77" s="24" t="n">
        <f aca="false">IF($I77=0,"",ROUND($J77/MAX($I77,0.01),2))</f>
        <v>2.71</v>
      </c>
      <c r="AB77" s="24" t="n">
        <f aca="false">IF($J77&lt;=0,"",ROUND(($F77+$G77)/$J77,0))</f>
        <v>111</v>
      </c>
      <c r="AC77" s="26" t="n">
        <f aca="false">IF($AB77="","",$J$3+$AB77)</f>
        <v>46356</v>
      </c>
      <c r="AD77" s="23" t="n">
        <v>0</v>
      </c>
      <c r="AE77" s="23" t="n">
        <v>123</v>
      </c>
      <c r="AF77" s="23" t="n">
        <v>13</v>
      </c>
      <c r="AG77" s="24" t="n">
        <f aca="false">IF($AF77=0,"",MAX(0,180-$AE77))</f>
        <v>57</v>
      </c>
      <c r="AH77" s="27" t="n">
        <v>6110</v>
      </c>
      <c r="AI77" s="28" t="n">
        <f aca="false">IF($AF77=0,"",$AF77*$Q$3-$AF77*$N$3)</f>
        <v>52195</v>
      </c>
      <c r="AJ77" s="23" t="n">
        <v>8.97</v>
      </c>
      <c r="AK77" s="28" t="n">
        <f aca="false">ROUND($F77*$AJ77,0)</f>
        <v>188</v>
      </c>
      <c r="AL77" s="25" t="str">
        <f aca="false">IF(AND($F77=0,$T77&gt;0,$O77=0),"QUIEBRE Y SIN STOCK PARA ENVIAR",IF(AND($F77=0,$T77&gt;0),"QUIEBRE",IF($F77=0,"SIN STOCK SIN DEMANDA",IF(AND($AF77&gt;0,$AG77&lt;&gt;"",OR($AB77="",$AB77&gt;$AG77)),"STOCK VIEJO EN RIESGO",IF(AND($T77=0,$H77=0),"SIN ROTACION",IF($AB77="","-",IF($AB77&lt;14,"REPONER",IF($AB77&gt;84,"SOBRE-STOCK","EN RANGO"))))))))</f>
        <v>STOCK VIEJO EN RIESGO</v>
      </c>
    </row>
    <row r="78" customFormat="false" ht="15" hidden="false" customHeight="false" outlineLevel="0" collapsed="false">
      <c r="A78" s="4" t="s">
        <v>94</v>
      </c>
      <c r="B78" s="23" t="s">
        <v>384</v>
      </c>
      <c r="C78" s="23" t="s">
        <v>385</v>
      </c>
      <c r="D78" s="23" t="s">
        <v>386</v>
      </c>
      <c r="E78" s="23" t="s">
        <v>387</v>
      </c>
      <c r="F78" s="23" t="n">
        <v>0</v>
      </c>
      <c r="G78" s="23" t="n">
        <v>5</v>
      </c>
      <c r="H78" s="23" t="n">
        <v>5</v>
      </c>
      <c r="I78" s="24" t="n">
        <f aca="false">ROUND($H78/30,2)</f>
        <v>0.17</v>
      </c>
      <c r="J78" s="25" t="n">
        <f aca="false">IF($Z78="CENSURADO",ROUND($T78/MAX($V78,3),2),ROUND($T78/$G$3,2))</f>
        <v>0.5</v>
      </c>
      <c r="K78" s="24" t="n">
        <f aca="false">ROUNDUP($J78*$C$3*7,0)</f>
        <v>11</v>
      </c>
      <c r="L78" s="24" t="n">
        <f aca="false">MAX(0,$K78-$F78-$G78)</f>
        <v>6</v>
      </c>
      <c r="M78" s="23" t="n">
        <v>0</v>
      </c>
      <c r="N78" s="23" t="n">
        <v>3</v>
      </c>
      <c r="O78" s="24" t="n">
        <f aca="false">$M78+$N78</f>
        <v>3</v>
      </c>
      <c r="P78" s="25" t="n">
        <f aca="false">MIN($L78,$O78)</f>
        <v>3</v>
      </c>
      <c r="Q78" s="23"/>
      <c r="R78" s="23" t="n">
        <v>1</v>
      </c>
      <c r="S78" s="23" t="s">
        <v>100</v>
      </c>
      <c r="T78" s="23" t="n">
        <v>5</v>
      </c>
      <c r="U78" s="23" t="n">
        <v>3</v>
      </c>
      <c r="V78" s="23" t="n">
        <v>10</v>
      </c>
      <c r="W78" s="23" t="n">
        <v>8</v>
      </c>
      <c r="X78" s="23" t="n">
        <v>2</v>
      </c>
      <c r="Y78" s="24" t="n">
        <f aca="false">IF($X78=0,"",ROUND($H78/$X78,2))</f>
        <v>2.5</v>
      </c>
      <c r="Z78" s="24" t="str">
        <f aca="false">IF(AND($F78=0,$T78&gt;=5,$W78&gt;=3),"CENSURADO",IF(AND($Y78&lt;&gt;"",$Y78&gt;=3,$T78&gt;=10),"CENSURADO",IF($T78=0,"SIN DATO","CONFIABLE")))</f>
        <v>CENSURADO</v>
      </c>
      <c r="AA78" s="24" t="n">
        <f aca="false">IF($I78=0,"",ROUND($J78/MAX($I78,0.01),2))</f>
        <v>2.94</v>
      </c>
      <c r="AB78" s="24" t="n">
        <f aca="false">IF($J78&lt;=0,"",ROUND(($F78+$G78)/$J78,0))</f>
        <v>10</v>
      </c>
      <c r="AC78" s="26" t="n">
        <f aca="false">IF($AB78="","",$J$3+$AB78)</f>
        <v>46255</v>
      </c>
      <c r="AD78" s="23" t="n">
        <v>0</v>
      </c>
      <c r="AE78" s="23" t="n">
        <v>121</v>
      </c>
      <c r="AF78" s="23" t="n">
        <v>5</v>
      </c>
      <c r="AG78" s="24" t="n">
        <f aca="false">IF($AF78=0,"",MAX(0,180-$AE78))</f>
        <v>59</v>
      </c>
      <c r="AH78" s="27" t="n">
        <v>2350</v>
      </c>
      <c r="AI78" s="28" t="n">
        <f aca="false">IF($AF78=0,"",$AF78*$Q$3-$AF78*$N$3)</f>
        <v>20075</v>
      </c>
      <c r="AJ78" s="23" t="n">
        <v>0</v>
      </c>
      <c r="AK78" s="28" t="n">
        <f aca="false">ROUND($F78*$AJ78,0)</f>
        <v>0</v>
      </c>
      <c r="AL78" s="25" t="str">
        <f aca="false">IF(AND($F78=0,$T78&gt;0,$O78=0),"QUIEBRE Y SIN STOCK PARA ENVIAR",IF(AND($F78=0,$T78&gt;0),"QUIEBRE",IF($F78=0,"SIN STOCK SIN DEMANDA",IF(AND($AF78&gt;0,$AG78&lt;&gt;"",OR($AB78="",$AB78&gt;$AG78)),"STOCK VIEJO EN RIESGO",IF(AND($T78=0,$H78=0),"SIN ROTACION",IF($AB78="","-",IF($AB78&lt;14,"REPONER",IF($AB78&gt;84,"SOBRE-STOCK","EN RANGO"))))))))</f>
        <v>QUIEBRE</v>
      </c>
    </row>
    <row r="79" customFormat="false" ht="15" hidden="false" customHeight="false" outlineLevel="0" collapsed="false">
      <c r="A79" s="4" t="s">
        <v>94</v>
      </c>
      <c r="B79" s="23" t="s">
        <v>388</v>
      </c>
      <c r="C79" s="23" t="s">
        <v>389</v>
      </c>
      <c r="D79" s="23" t="s">
        <v>390</v>
      </c>
      <c r="E79" s="23" t="s">
        <v>391</v>
      </c>
      <c r="F79" s="23" t="n">
        <v>20</v>
      </c>
      <c r="G79" s="23" t="n">
        <v>5</v>
      </c>
      <c r="H79" s="23" t="n">
        <v>4</v>
      </c>
      <c r="I79" s="24" t="n">
        <f aca="false">ROUND($H79/30,2)</f>
        <v>0.13</v>
      </c>
      <c r="J79" s="25" t="n">
        <f aca="false">IF($Z79="CENSURADO",ROUND($T79/MAX($V79,3),2),ROUND($T79/$G$3,2))</f>
        <v>0.16</v>
      </c>
      <c r="K79" s="24" t="n">
        <f aca="false">ROUNDUP($J79*$C$3*7,0)</f>
        <v>4</v>
      </c>
      <c r="L79" s="24" t="n">
        <f aca="false">MAX(0,$K79-$F79-$G79)</f>
        <v>0</v>
      </c>
      <c r="M79" s="23" t="n">
        <v>667</v>
      </c>
      <c r="N79" s="23" t="n">
        <v>48</v>
      </c>
      <c r="O79" s="24" t="n">
        <f aca="false">$M79+$N79</f>
        <v>715</v>
      </c>
      <c r="P79" s="25" t="n">
        <f aca="false">MIN($L79,$O79)</f>
        <v>0</v>
      </c>
      <c r="Q79" s="23" t="s">
        <v>99</v>
      </c>
      <c r="R79" s="23" t="n">
        <v>2</v>
      </c>
      <c r="S79" s="23" t="s">
        <v>392</v>
      </c>
      <c r="T79" s="23" t="n">
        <v>5</v>
      </c>
      <c r="U79" s="23" t="n">
        <v>3</v>
      </c>
      <c r="V79" s="23" t="n">
        <v>24</v>
      </c>
      <c r="W79" s="23" t="n">
        <v>6</v>
      </c>
      <c r="X79" s="23" t="n">
        <v>23</v>
      </c>
      <c r="Y79" s="24" t="n">
        <f aca="false">IF($X79=0,"",ROUND($H79/$X79,2))</f>
        <v>0.17</v>
      </c>
      <c r="Z79" s="24" t="str">
        <f aca="false">IF(AND($F79=0,$T79&gt;=5,$W79&gt;=3),"CENSURADO",IF(AND($Y79&lt;&gt;"",$Y79&gt;=3,$T79&gt;=10),"CENSURADO",IF($T79=0,"SIN DATO","CONFIABLE")))</f>
        <v>CONFIABLE</v>
      </c>
      <c r="AA79" s="24" t="n">
        <f aca="false">IF($I79=0,"",ROUND($J79/MAX($I79,0.01),2))</f>
        <v>1.23</v>
      </c>
      <c r="AB79" s="24" t="n">
        <f aca="false">IF($J79&lt;=0,"",ROUND(($F79+$G79)/$J79,0))</f>
        <v>156</v>
      </c>
      <c r="AC79" s="26" t="n">
        <f aca="false">IF($AB79="","",$J$3+$AB79)</f>
        <v>46401</v>
      </c>
      <c r="AD79" s="23" t="n">
        <v>1</v>
      </c>
      <c r="AE79" s="23" t="n">
        <v>163</v>
      </c>
      <c r="AF79" s="23" t="n">
        <v>6</v>
      </c>
      <c r="AG79" s="24" t="n">
        <f aca="false">IF($AF79=0,"",MAX(0,180-$AE79))</f>
        <v>17</v>
      </c>
      <c r="AH79" s="27" t="n">
        <v>2820</v>
      </c>
      <c r="AI79" s="28" t="n">
        <f aca="false">IF($AF79=0,"",$AF79*$Q$3-$AF79*$N$3)</f>
        <v>24090</v>
      </c>
      <c r="AJ79" s="23" t="n">
        <v>6.93</v>
      </c>
      <c r="AK79" s="28" t="n">
        <f aca="false">ROUND($F79*$AJ79,0)</f>
        <v>139</v>
      </c>
      <c r="AL79" s="25" t="str">
        <f aca="false">IF(AND($F79=0,$T79&gt;0,$O79=0),"QUIEBRE Y SIN STOCK PARA ENVIAR",IF(AND($F79=0,$T79&gt;0),"QUIEBRE",IF($F79=0,"SIN STOCK SIN DEMANDA",IF(AND($AF79&gt;0,$AG79&lt;&gt;"",OR($AB79="",$AB79&gt;$AG79)),"STOCK VIEJO EN RIESGO",IF(AND($T79=0,$H79=0),"SIN ROTACION",IF($AB79="","-",IF($AB79&lt;14,"REPONER",IF($AB79&gt;84,"SOBRE-STOCK","EN RANGO"))))))))</f>
        <v>STOCK VIEJO EN RIESGO</v>
      </c>
    </row>
    <row r="80" customFormat="false" ht="15" hidden="false" customHeight="false" outlineLevel="0" collapsed="false">
      <c r="A80" s="4" t="s">
        <v>94</v>
      </c>
      <c r="B80" s="23" t="s">
        <v>393</v>
      </c>
      <c r="C80" s="23" t="s">
        <v>394</v>
      </c>
      <c r="D80" s="23" t="s">
        <v>362</v>
      </c>
      <c r="E80" s="23" t="s">
        <v>363</v>
      </c>
      <c r="F80" s="23" t="n">
        <v>0</v>
      </c>
      <c r="G80" s="23" t="n">
        <v>0</v>
      </c>
      <c r="H80" s="23" t="n">
        <v>5</v>
      </c>
      <c r="I80" s="24" t="n">
        <f aca="false">ROUND($H80/30,2)</f>
        <v>0.17</v>
      </c>
      <c r="J80" s="25" t="n">
        <f aca="false">IF($Z80="CENSURADO",ROUND($T80/MAX($V80,3),2),ROUND($T80/$G$3,2))</f>
        <v>0.31</v>
      </c>
      <c r="K80" s="24" t="n">
        <f aca="false">ROUNDUP($J80*$C$3*7,0)</f>
        <v>7</v>
      </c>
      <c r="L80" s="24" t="n">
        <f aca="false">MAX(0,$K80-$F80-$G80)</f>
        <v>7</v>
      </c>
      <c r="M80" s="23" t="n">
        <v>0</v>
      </c>
      <c r="N80" s="23" t="n">
        <v>1</v>
      </c>
      <c r="O80" s="24" t="n">
        <f aca="false">$M80+$N80</f>
        <v>1</v>
      </c>
      <c r="P80" s="25" t="n">
        <f aca="false">MIN($L80,$O80)</f>
        <v>1</v>
      </c>
      <c r="Q80" s="23" t="s">
        <v>99</v>
      </c>
      <c r="R80" s="23" t="n">
        <v>1</v>
      </c>
      <c r="S80" s="23" t="s">
        <v>100</v>
      </c>
      <c r="T80" s="23" t="n">
        <v>5</v>
      </c>
      <c r="U80" s="23" t="n">
        <v>4</v>
      </c>
      <c r="V80" s="23" t="n">
        <v>16</v>
      </c>
      <c r="W80" s="23" t="n">
        <v>7</v>
      </c>
      <c r="X80" s="23" t="n">
        <v>2</v>
      </c>
      <c r="Y80" s="24" t="n">
        <f aca="false">IF($X80=0,"",ROUND($H80/$X80,2))</f>
        <v>2.5</v>
      </c>
      <c r="Z80" s="24" t="str">
        <f aca="false">IF(AND($F80=0,$T80&gt;=5,$W80&gt;=3),"CENSURADO",IF(AND($Y80&lt;&gt;"",$Y80&gt;=3,$T80&gt;=10),"CENSURADO",IF($T80=0,"SIN DATO","CONFIABLE")))</f>
        <v>CENSURADO</v>
      </c>
      <c r="AA80" s="24" t="n">
        <f aca="false">IF($I80=0,"",ROUND($J80/MAX($I80,0.01),2))</f>
        <v>1.82</v>
      </c>
      <c r="AB80" s="24" t="n">
        <f aca="false">IF($J80&lt;=0,"",ROUND(($F80+$G80)/$J80,0))</f>
        <v>0</v>
      </c>
      <c r="AC80" s="26" t="n">
        <f aca="false">IF($AB80="","",$J$3+$AB80)</f>
        <v>46245</v>
      </c>
      <c r="AD80" s="23" t="n">
        <v>0</v>
      </c>
      <c r="AE80" s="23" t="n">
        <v>0</v>
      </c>
      <c r="AF80" s="23" t="n">
        <v>0</v>
      </c>
      <c r="AG80" s="24" t="str">
        <f aca="false">IF($AF80=0,"",MAX(0,180-$AE80))</f>
        <v/>
      </c>
      <c r="AH80" s="27" t="n">
        <v>0</v>
      </c>
      <c r="AI80" s="28" t="str">
        <f aca="false">IF($AF80=0,"",$AF80*$Q$3-$AF80*$N$3)</f>
        <v/>
      </c>
      <c r="AJ80" s="23" t="n">
        <v>0</v>
      </c>
      <c r="AK80" s="28" t="n">
        <f aca="false">ROUND($F80*$AJ80,0)</f>
        <v>0</v>
      </c>
      <c r="AL80" s="25" t="str">
        <f aca="false">IF(AND($F80=0,$T80&gt;0,$O80=0),"QUIEBRE Y SIN STOCK PARA ENVIAR",IF(AND($F80=0,$T80&gt;0),"QUIEBRE",IF($F80=0,"SIN STOCK SIN DEMANDA",IF(AND($AF80&gt;0,$AG80&lt;&gt;"",OR($AB80="",$AB80&gt;$AG80)),"STOCK VIEJO EN RIESGO",IF(AND($T80=0,$H80=0),"SIN ROTACION",IF($AB80="","-",IF($AB80&lt;14,"REPONER",IF($AB80&gt;84,"SOBRE-STOCK","EN RANGO"))))))))</f>
        <v>QUIEBRE</v>
      </c>
    </row>
    <row r="81" customFormat="false" ht="15" hidden="false" customHeight="false" outlineLevel="0" collapsed="false">
      <c r="A81" s="4" t="s">
        <v>94</v>
      </c>
      <c r="B81" s="23" t="s">
        <v>395</v>
      </c>
      <c r="C81" s="23" t="s">
        <v>396</v>
      </c>
      <c r="D81" s="23" t="s">
        <v>397</v>
      </c>
      <c r="E81" s="23" t="s">
        <v>398</v>
      </c>
      <c r="F81" s="23" t="n">
        <v>0</v>
      </c>
      <c r="G81" s="23" t="n">
        <v>0</v>
      </c>
      <c r="H81" s="23" t="n">
        <v>5</v>
      </c>
      <c r="I81" s="24" t="n">
        <f aca="false">ROUND($H81/30,2)</f>
        <v>0.17</v>
      </c>
      <c r="J81" s="25" t="n">
        <f aca="false">IF($Z81="CENSURADO",ROUND($T81/MAX($V81,3),2),ROUND($T81/$G$3,2))</f>
        <v>0.25</v>
      </c>
      <c r="K81" s="24" t="n">
        <f aca="false">ROUNDUP($J81*$C$3*7,0)</f>
        <v>6</v>
      </c>
      <c r="L81" s="24" t="n">
        <f aca="false">MAX(0,$K81-$F81-$G81)</f>
        <v>6</v>
      </c>
      <c r="M81" s="23" t="n">
        <v>11</v>
      </c>
      <c r="N81" s="23" t="n">
        <v>0</v>
      </c>
      <c r="O81" s="24" t="n">
        <f aca="false">$M81+$N81</f>
        <v>11</v>
      </c>
      <c r="P81" s="25" t="n">
        <f aca="false">MIN($L81,$O81)</f>
        <v>6</v>
      </c>
      <c r="Q81" s="23"/>
      <c r="R81" s="23" t="n">
        <v>1</v>
      </c>
      <c r="S81" s="23" t="s">
        <v>100</v>
      </c>
      <c r="T81" s="23" t="n">
        <v>5</v>
      </c>
      <c r="U81" s="23" t="n">
        <v>2</v>
      </c>
      <c r="V81" s="23" t="n">
        <v>20</v>
      </c>
      <c r="W81" s="23" t="n">
        <v>7</v>
      </c>
      <c r="X81" s="23" t="n">
        <v>3</v>
      </c>
      <c r="Y81" s="24" t="n">
        <f aca="false">IF($X81=0,"",ROUND($H81/$X81,2))</f>
        <v>1.67</v>
      </c>
      <c r="Z81" s="24" t="str">
        <f aca="false">IF(AND($F81=0,$T81&gt;=5,$W81&gt;=3),"CENSURADO",IF(AND($Y81&lt;&gt;"",$Y81&gt;=3,$T81&gt;=10),"CENSURADO",IF($T81=0,"SIN DATO","CONFIABLE")))</f>
        <v>CENSURADO</v>
      </c>
      <c r="AA81" s="24" t="n">
        <f aca="false">IF($I81=0,"",ROUND($J81/MAX($I81,0.01),2))</f>
        <v>1.47</v>
      </c>
      <c r="AB81" s="24" t="n">
        <f aca="false">IF($J81&lt;=0,"",ROUND(($F81+$G81)/$J81,0))</f>
        <v>0</v>
      </c>
      <c r="AC81" s="26" t="n">
        <f aca="false">IF($AB81="","",$J$3+$AB81)</f>
        <v>46245</v>
      </c>
      <c r="AD81" s="23" t="n">
        <v>0</v>
      </c>
      <c r="AE81" s="23" t="n">
        <v>0</v>
      </c>
      <c r="AF81" s="23" t="n">
        <v>0</v>
      </c>
      <c r="AG81" s="24" t="str">
        <f aca="false">IF($AF81=0,"",MAX(0,180-$AE81))</f>
        <v/>
      </c>
      <c r="AH81" s="27" t="n">
        <v>0</v>
      </c>
      <c r="AI81" s="28" t="str">
        <f aca="false">IF($AF81=0,"",$AF81*$Q$3-$AF81*$N$3)</f>
        <v/>
      </c>
      <c r="AJ81" s="23" t="n">
        <v>4.5</v>
      </c>
      <c r="AK81" s="28" t="n">
        <f aca="false">ROUND($F81*$AJ81,0)</f>
        <v>0</v>
      </c>
      <c r="AL81" s="25" t="str">
        <f aca="false">IF(AND($F81=0,$T81&gt;0,$O81=0),"QUIEBRE Y SIN STOCK PARA ENVIAR",IF(AND($F81=0,$T81&gt;0),"QUIEBRE",IF($F81=0,"SIN STOCK SIN DEMANDA",IF(AND($AF81&gt;0,$AG81&lt;&gt;"",OR($AB81="",$AB81&gt;$AG81)),"STOCK VIEJO EN RIESGO",IF(AND($T81=0,$H81=0),"SIN ROTACION",IF($AB81="","-",IF($AB81&lt;14,"REPONER",IF($AB81&gt;84,"SOBRE-STOCK","EN RANGO"))))))))</f>
        <v>QUIEBRE</v>
      </c>
    </row>
    <row r="82" customFormat="false" ht="15" hidden="false" customHeight="false" outlineLevel="0" collapsed="false">
      <c r="A82" s="4" t="s">
        <v>94</v>
      </c>
      <c r="B82" s="23" t="s">
        <v>399</v>
      </c>
      <c r="C82" s="23" t="s">
        <v>400</v>
      </c>
      <c r="D82" s="23" t="s">
        <v>401</v>
      </c>
      <c r="E82" s="23" t="s">
        <v>402</v>
      </c>
      <c r="F82" s="23" t="n">
        <v>4</v>
      </c>
      <c r="G82" s="23" t="n">
        <v>0</v>
      </c>
      <c r="H82" s="23" t="n">
        <v>3</v>
      </c>
      <c r="I82" s="24" t="n">
        <f aca="false">ROUND($H82/30,2)</f>
        <v>0.1</v>
      </c>
      <c r="J82" s="25" t="n">
        <f aca="false">IF($Z82="CENSURADO",ROUND($T82/MAX($V82,3),2),ROUND($T82/$G$3,2))</f>
        <v>0.16</v>
      </c>
      <c r="K82" s="24" t="n">
        <f aca="false">ROUNDUP($J82*$C$3*7,0)</f>
        <v>4</v>
      </c>
      <c r="L82" s="24" t="n">
        <f aca="false">MAX(0,$K82-$F82-$G82)</f>
        <v>0</v>
      </c>
      <c r="M82" s="23" t="n">
        <v>22</v>
      </c>
      <c r="N82" s="23" t="n">
        <v>0</v>
      </c>
      <c r="O82" s="24" t="n">
        <f aca="false">$M82+$N82</f>
        <v>22</v>
      </c>
      <c r="P82" s="25" t="n">
        <f aca="false">MIN($L82,$O82)</f>
        <v>0</v>
      </c>
      <c r="Q82" s="23" t="s">
        <v>99</v>
      </c>
      <c r="R82" s="23" t="n">
        <v>1</v>
      </c>
      <c r="S82" s="23" t="s">
        <v>211</v>
      </c>
      <c r="T82" s="23" t="n">
        <v>5</v>
      </c>
      <c r="U82" s="23" t="n">
        <v>5</v>
      </c>
      <c r="V82" s="23" t="n">
        <v>17</v>
      </c>
      <c r="W82" s="23" t="n">
        <v>1</v>
      </c>
      <c r="X82" s="23" t="n">
        <v>8</v>
      </c>
      <c r="Y82" s="24" t="n">
        <f aca="false">IF($X82=0,"",ROUND($H82/$X82,2))</f>
        <v>0.38</v>
      </c>
      <c r="Z82" s="24" t="str">
        <f aca="false">IF(AND($F82=0,$T82&gt;=5,$W82&gt;=3),"CENSURADO",IF(AND($Y82&lt;&gt;"",$Y82&gt;=3,$T82&gt;=10),"CENSURADO",IF($T82=0,"SIN DATO","CONFIABLE")))</f>
        <v>CONFIABLE</v>
      </c>
      <c r="AA82" s="24" t="n">
        <f aca="false">IF($I82=0,"",ROUND($J82/MAX($I82,0.01),2))</f>
        <v>1.6</v>
      </c>
      <c r="AB82" s="24" t="n">
        <f aca="false">IF($J82&lt;=0,"",ROUND(($F82+$G82)/$J82,0))</f>
        <v>25</v>
      </c>
      <c r="AC82" s="26" t="n">
        <f aca="false">IF($AB82="","",$J$3+$AB82)</f>
        <v>46270</v>
      </c>
      <c r="AD82" s="23" t="n">
        <v>0</v>
      </c>
      <c r="AE82" s="23" t="n">
        <v>142</v>
      </c>
      <c r="AF82" s="23" t="n">
        <v>9</v>
      </c>
      <c r="AG82" s="24" t="n">
        <f aca="false">IF($AF82=0,"",MAX(0,180-$AE82))</f>
        <v>38</v>
      </c>
      <c r="AH82" s="27" t="n">
        <v>12195</v>
      </c>
      <c r="AI82" s="28" t="n">
        <f aca="false">IF($AF82=0,"",$AF82*$Q$3-$AF82*$N$3)</f>
        <v>36135</v>
      </c>
      <c r="AJ82" s="23" t="n">
        <v>58.91</v>
      </c>
      <c r="AK82" s="28" t="n">
        <f aca="false">ROUND($F82*$AJ82,0)</f>
        <v>236</v>
      </c>
      <c r="AL82" s="25" t="str">
        <f aca="false">IF(AND($F82=0,$T82&gt;0,$O82=0),"QUIEBRE Y SIN STOCK PARA ENVIAR",IF(AND($F82=0,$T82&gt;0),"QUIEBRE",IF($F82=0,"SIN STOCK SIN DEMANDA",IF(AND($AF82&gt;0,$AG82&lt;&gt;"",OR($AB82="",$AB82&gt;$AG82)),"STOCK VIEJO EN RIESGO",IF(AND($T82=0,$H82=0),"SIN ROTACION",IF($AB82="","-",IF($AB82&lt;14,"REPONER",IF($AB82&gt;84,"SOBRE-STOCK","EN RANGO"))))))))</f>
        <v>EN RANGO</v>
      </c>
    </row>
    <row r="83" customFormat="false" ht="15" hidden="false" customHeight="false" outlineLevel="0" collapsed="false">
      <c r="A83" s="4" t="s">
        <v>94</v>
      </c>
      <c r="B83" s="23" t="s">
        <v>403</v>
      </c>
      <c r="C83" s="23" t="s">
        <v>404</v>
      </c>
      <c r="D83" s="23" t="s">
        <v>405</v>
      </c>
      <c r="E83" s="23" t="s">
        <v>406</v>
      </c>
      <c r="F83" s="23" t="n">
        <v>0</v>
      </c>
      <c r="G83" s="23" t="n">
        <v>0</v>
      </c>
      <c r="H83" s="23" t="n">
        <v>5</v>
      </c>
      <c r="I83" s="24" t="n">
        <f aca="false">ROUND($H83/30,2)</f>
        <v>0.17</v>
      </c>
      <c r="J83" s="25" t="n">
        <f aca="false">IF($Z83="CENSURADO",ROUND($T83/MAX($V83,3),2),ROUND($T83/$G$3,2))</f>
        <v>0.38</v>
      </c>
      <c r="K83" s="24" t="n">
        <f aca="false">ROUNDUP($J83*$C$3*7,0)</f>
        <v>8</v>
      </c>
      <c r="L83" s="24" t="n">
        <f aca="false">MAX(0,$K83-$F83-$G83)</f>
        <v>8</v>
      </c>
      <c r="M83" s="23" t="n">
        <v>136</v>
      </c>
      <c r="N83" s="23" t="n">
        <v>0</v>
      </c>
      <c r="O83" s="24" t="n">
        <f aca="false">$M83+$N83</f>
        <v>136</v>
      </c>
      <c r="P83" s="25" t="n">
        <f aca="false">MIN($L83,$O83)</f>
        <v>8</v>
      </c>
      <c r="Q83" s="23"/>
      <c r="R83" s="23" t="n">
        <v>1</v>
      </c>
      <c r="S83" s="23" t="s">
        <v>211</v>
      </c>
      <c r="T83" s="23" t="n">
        <v>5</v>
      </c>
      <c r="U83" s="23" t="n">
        <v>3</v>
      </c>
      <c r="V83" s="23" t="n">
        <v>13</v>
      </c>
      <c r="W83" s="23" t="n">
        <v>17</v>
      </c>
      <c r="X83" s="23" t="n">
        <v>2</v>
      </c>
      <c r="Y83" s="24" t="n">
        <f aca="false">IF($X83=0,"",ROUND($H83/$X83,2))</f>
        <v>2.5</v>
      </c>
      <c r="Z83" s="24" t="str">
        <f aca="false">IF(AND($F83=0,$T83&gt;=5,$W83&gt;=3),"CENSURADO",IF(AND($Y83&lt;&gt;"",$Y83&gt;=3,$T83&gt;=10),"CENSURADO",IF($T83=0,"SIN DATO","CONFIABLE")))</f>
        <v>CENSURADO</v>
      </c>
      <c r="AA83" s="24" t="n">
        <f aca="false">IF($I83=0,"",ROUND($J83/MAX($I83,0.01),2))</f>
        <v>2.24</v>
      </c>
      <c r="AB83" s="24" t="n">
        <f aca="false">IF($J83&lt;=0,"",ROUND(($F83+$G83)/$J83,0))</f>
        <v>0</v>
      </c>
      <c r="AC83" s="26" t="n">
        <f aca="false">IF($AB83="","",$J$3+$AB83)</f>
        <v>46245</v>
      </c>
      <c r="AD83" s="23" t="n">
        <v>0</v>
      </c>
      <c r="AE83" s="23" t="n">
        <v>0</v>
      </c>
      <c r="AF83" s="23" t="n">
        <v>0</v>
      </c>
      <c r="AG83" s="24" t="str">
        <f aca="false">IF($AF83=0,"",MAX(0,180-$AE83))</f>
        <v/>
      </c>
      <c r="AH83" s="27" t="n">
        <v>0</v>
      </c>
      <c r="AI83" s="28" t="str">
        <f aca="false">IF($AF83=0,"",$AF83*$Q$3-$AF83*$N$3)</f>
        <v/>
      </c>
      <c r="AJ83" s="23" t="n">
        <v>40.02</v>
      </c>
      <c r="AK83" s="28" t="n">
        <f aca="false">ROUND($F83*$AJ83,0)</f>
        <v>0</v>
      </c>
      <c r="AL83" s="25" t="str">
        <f aca="false">IF(AND($F83=0,$T83&gt;0,$O83=0),"QUIEBRE Y SIN STOCK PARA ENVIAR",IF(AND($F83=0,$T83&gt;0),"QUIEBRE",IF($F83=0,"SIN STOCK SIN DEMANDA",IF(AND($AF83&gt;0,$AG83&lt;&gt;"",OR($AB83="",$AB83&gt;$AG83)),"STOCK VIEJO EN RIESGO",IF(AND($T83=0,$H83=0),"SIN ROTACION",IF($AB83="","-",IF($AB83&lt;14,"REPONER",IF($AB83&gt;84,"SOBRE-STOCK","EN RANGO"))))))))</f>
        <v>QUIEBRE</v>
      </c>
    </row>
    <row r="84" customFormat="false" ht="15" hidden="false" customHeight="false" outlineLevel="0" collapsed="false">
      <c r="A84" s="4" t="s">
        <v>94</v>
      </c>
      <c r="B84" s="23" t="s">
        <v>407</v>
      </c>
      <c r="C84" s="23" t="s">
        <v>408</v>
      </c>
      <c r="D84" s="23" t="s">
        <v>409</v>
      </c>
      <c r="E84" s="23" t="s">
        <v>410</v>
      </c>
      <c r="F84" s="23" t="n">
        <v>5</v>
      </c>
      <c r="G84" s="23" t="n">
        <v>0</v>
      </c>
      <c r="H84" s="23" t="n">
        <v>4</v>
      </c>
      <c r="I84" s="24" t="n">
        <f aca="false">ROUND($H84/30,2)</f>
        <v>0.13</v>
      </c>
      <c r="J84" s="25" t="n">
        <f aca="false">IF($Z84="CENSURADO",ROUND($T84/MAX($V84,3),2),ROUND($T84/$G$3,2))</f>
        <v>0.16</v>
      </c>
      <c r="K84" s="24" t="n">
        <f aca="false">ROUNDUP($J84*$C$3*7,0)</f>
        <v>4</v>
      </c>
      <c r="L84" s="24" t="n">
        <f aca="false">MAX(0,$K84-$F84-$G84)</f>
        <v>0</v>
      </c>
      <c r="M84" s="23" t="n">
        <v>3497</v>
      </c>
      <c r="N84" s="23" t="n">
        <v>189</v>
      </c>
      <c r="O84" s="24" t="n">
        <f aca="false">$M84+$N84</f>
        <v>3686</v>
      </c>
      <c r="P84" s="25" t="n">
        <f aca="false">MIN($L84,$O84)</f>
        <v>0</v>
      </c>
      <c r="Q84" s="23" t="s">
        <v>99</v>
      </c>
      <c r="R84" s="23" t="n">
        <v>1</v>
      </c>
      <c r="S84" s="23" t="s">
        <v>100</v>
      </c>
      <c r="T84" s="23" t="n">
        <v>5</v>
      </c>
      <c r="U84" s="23" t="n">
        <v>3</v>
      </c>
      <c r="V84" s="23" t="n">
        <v>5</v>
      </c>
      <c r="W84" s="23" t="n">
        <v>14</v>
      </c>
      <c r="X84" s="23" t="n">
        <v>7</v>
      </c>
      <c r="Y84" s="24" t="n">
        <f aca="false">IF($X84=0,"",ROUND($H84/$X84,2))</f>
        <v>0.57</v>
      </c>
      <c r="Z84" s="24" t="str">
        <f aca="false">IF(AND($F84=0,$T84&gt;=5,$W84&gt;=3),"CENSURADO",IF(AND($Y84&lt;&gt;"",$Y84&gt;=3,$T84&gt;=10),"CENSURADO",IF($T84=0,"SIN DATO","CONFIABLE")))</f>
        <v>CONFIABLE</v>
      </c>
      <c r="AA84" s="24" t="n">
        <f aca="false">IF($I84=0,"",ROUND($J84/MAX($I84,0.01),2))</f>
        <v>1.23</v>
      </c>
      <c r="AB84" s="24" t="n">
        <f aca="false">IF($J84&lt;=0,"",ROUND(($F84+$G84)/$J84,0))</f>
        <v>31</v>
      </c>
      <c r="AC84" s="26" t="n">
        <f aca="false">IF($AB84="","",$J$3+$AB84)</f>
        <v>46276</v>
      </c>
      <c r="AD84" s="23" t="n">
        <v>0</v>
      </c>
      <c r="AE84" s="23" t="n">
        <v>130</v>
      </c>
      <c r="AF84" s="23" t="n">
        <v>9</v>
      </c>
      <c r="AG84" s="24" t="n">
        <f aca="false">IF($AF84=0,"",MAX(0,180-$AE84))</f>
        <v>50</v>
      </c>
      <c r="AH84" s="27" t="n">
        <v>4230</v>
      </c>
      <c r="AI84" s="28" t="n">
        <f aca="false">IF($AF84=0,"",$AF84*$Q$3-$AF84*$N$3)</f>
        <v>36135</v>
      </c>
      <c r="AJ84" s="23" t="n">
        <v>7.01</v>
      </c>
      <c r="AK84" s="28" t="n">
        <f aca="false">ROUND($F84*$AJ84,0)</f>
        <v>35</v>
      </c>
      <c r="AL84" s="25" t="str">
        <f aca="false">IF(AND($F84=0,$T84&gt;0,$O84=0),"QUIEBRE Y SIN STOCK PARA ENVIAR",IF(AND($F84=0,$T84&gt;0),"QUIEBRE",IF($F84=0,"SIN STOCK SIN DEMANDA",IF(AND($AF84&gt;0,$AG84&lt;&gt;"",OR($AB84="",$AB84&gt;$AG84)),"STOCK VIEJO EN RIESGO",IF(AND($T84=0,$H84=0),"SIN ROTACION",IF($AB84="","-",IF($AB84&lt;14,"REPONER",IF($AB84&gt;84,"SOBRE-STOCK","EN RANGO"))))))))</f>
        <v>EN RANGO</v>
      </c>
    </row>
    <row r="85" customFormat="false" ht="15" hidden="false" customHeight="false" outlineLevel="0" collapsed="false">
      <c r="A85" s="4" t="s">
        <v>94</v>
      </c>
      <c r="B85" s="23" t="s">
        <v>411</v>
      </c>
      <c r="C85" s="23" t="s">
        <v>412</v>
      </c>
      <c r="D85" s="23" t="s">
        <v>413</v>
      </c>
      <c r="E85" s="23" t="s">
        <v>414</v>
      </c>
      <c r="F85" s="23" t="n">
        <v>22</v>
      </c>
      <c r="G85" s="23" t="n">
        <v>5</v>
      </c>
      <c r="H85" s="23" t="n">
        <v>3</v>
      </c>
      <c r="I85" s="24" t="n">
        <f aca="false">ROUND($H85/30,2)</f>
        <v>0.1</v>
      </c>
      <c r="J85" s="25" t="n">
        <f aca="false">IF($Z85="CENSURADO",ROUND($T85/MAX($V85,3),2),ROUND($T85/$G$3,2))</f>
        <v>0.13</v>
      </c>
      <c r="K85" s="24" t="n">
        <f aca="false">ROUNDUP($J85*$C$3*7,0)</f>
        <v>3</v>
      </c>
      <c r="L85" s="24" t="n">
        <f aca="false">MAX(0,$K85-$F85-$G85)</f>
        <v>0</v>
      </c>
      <c r="M85" s="23" t="n">
        <v>6174</v>
      </c>
      <c r="N85" s="23" t="n">
        <v>417</v>
      </c>
      <c r="O85" s="24" t="n">
        <f aca="false">$M85+$N85</f>
        <v>6591</v>
      </c>
      <c r="P85" s="25" t="n">
        <f aca="false">MIN($L85,$O85)</f>
        <v>0</v>
      </c>
      <c r="Q85" s="23" t="s">
        <v>99</v>
      </c>
      <c r="R85" s="23" t="n">
        <v>1</v>
      </c>
      <c r="S85" s="23" t="s">
        <v>133</v>
      </c>
      <c r="T85" s="23" t="n">
        <v>4</v>
      </c>
      <c r="U85" s="23" t="n">
        <v>2</v>
      </c>
      <c r="V85" s="23" t="n">
        <v>9</v>
      </c>
      <c r="W85" s="23" t="n">
        <v>4</v>
      </c>
      <c r="X85" s="23" t="n">
        <v>23</v>
      </c>
      <c r="Y85" s="24" t="n">
        <f aca="false">IF($X85=0,"",ROUND($H85/$X85,2))</f>
        <v>0.13</v>
      </c>
      <c r="Z85" s="24" t="str">
        <f aca="false">IF(AND($F85=0,$T85&gt;=5,$W85&gt;=3),"CENSURADO",IF(AND($Y85&lt;&gt;"",$Y85&gt;=3,$T85&gt;=10),"CENSURADO",IF($T85=0,"SIN DATO","CONFIABLE")))</f>
        <v>CONFIABLE</v>
      </c>
      <c r="AA85" s="24" t="n">
        <f aca="false">IF($I85=0,"",ROUND($J85/MAX($I85,0.01),2))</f>
        <v>1.3</v>
      </c>
      <c r="AB85" s="24" t="n">
        <f aca="false">IF($J85&lt;=0,"",ROUND(($F85+$G85)/$J85,0))</f>
        <v>208</v>
      </c>
      <c r="AC85" s="26" t="n">
        <f aca="false">IF($AB85="","",$J$3+$AB85)</f>
        <v>46453</v>
      </c>
      <c r="AD85" s="23" t="n">
        <v>0</v>
      </c>
      <c r="AE85" s="23" t="n">
        <v>0</v>
      </c>
      <c r="AF85" s="23" t="n">
        <v>0</v>
      </c>
      <c r="AG85" s="24" t="str">
        <f aca="false">IF($AF85=0,"",MAX(0,180-$AE85))</f>
        <v/>
      </c>
      <c r="AH85" s="27" t="n">
        <v>0</v>
      </c>
      <c r="AI85" s="28" t="str">
        <f aca="false">IF($AF85=0,"",$AF85*$Q$3-$AF85*$N$3)</f>
        <v/>
      </c>
      <c r="AJ85" s="23" t="n">
        <v>1.05</v>
      </c>
      <c r="AK85" s="28" t="n">
        <f aca="false">ROUND($F85*$AJ85,0)</f>
        <v>23</v>
      </c>
      <c r="AL85" s="25" t="str">
        <f aca="false">IF(AND($F85=0,$T85&gt;0,$O85=0),"QUIEBRE Y SIN STOCK PARA ENVIAR",IF(AND($F85=0,$T85&gt;0),"QUIEBRE",IF($F85=0,"SIN STOCK SIN DEMANDA",IF(AND($AF85&gt;0,$AG85&lt;&gt;"",OR($AB85="",$AB85&gt;$AG85)),"STOCK VIEJO EN RIESGO",IF(AND($T85=0,$H85=0),"SIN ROTACION",IF($AB85="","-",IF($AB85&lt;14,"REPONER",IF($AB85&gt;84,"SOBRE-STOCK","EN RANGO"))))))))</f>
        <v>SOBRE-STOCK</v>
      </c>
    </row>
    <row r="86" customFormat="false" ht="15" hidden="false" customHeight="false" outlineLevel="0" collapsed="false">
      <c r="A86" s="4" t="s">
        <v>94</v>
      </c>
      <c r="B86" s="23" t="s">
        <v>415</v>
      </c>
      <c r="C86" s="23" t="s">
        <v>416</v>
      </c>
      <c r="D86" s="23" t="s">
        <v>417</v>
      </c>
      <c r="E86" s="23" t="s">
        <v>418</v>
      </c>
      <c r="F86" s="23" t="n">
        <v>0</v>
      </c>
      <c r="G86" s="23" t="n">
        <v>0</v>
      </c>
      <c r="H86" s="23" t="n">
        <v>0</v>
      </c>
      <c r="I86" s="24" t="n">
        <f aca="false">ROUND($H86/30,2)</f>
        <v>0</v>
      </c>
      <c r="J86" s="25" t="n">
        <f aca="false">IF($Z86="CENSURADO",ROUND($T86/MAX($V86,3),2),ROUND($T86/$G$3,2))</f>
        <v>0.13</v>
      </c>
      <c r="K86" s="24" t="n">
        <f aca="false">ROUNDUP($J86*$C$3*7,0)</f>
        <v>3</v>
      </c>
      <c r="L86" s="24" t="n">
        <f aca="false">MAX(0,$K86-$F86-$G86)</f>
        <v>3</v>
      </c>
      <c r="M86" s="23" t="n">
        <v>756</v>
      </c>
      <c r="N86" s="23" t="n">
        <v>212</v>
      </c>
      <c r="O86" s="24" t="n">
        <f aca="false">$M86+$N86</f>
        <v>968</v>
      </c>
      <c r="P86" s="25" t="n">
        <f aca="false">MIN($L86,$O86)</f>
        <v>3</v>
      </c>
      <c r="Q86" s="23" t="s">
        <v>99</v>
      </c>
      <c r="R86" s="23" t="n">
        <v>1</v>
      </c>
      <c r="S86" s="23" t="s">
        <v>100</v>
      </c>
      <c r="T86" s="23" t="n">
        <v>4</v>
      </c>
      <c r="U86" s="23" t="n">
        <v>2</v>
      </c>
      <c r="V86" s="23" t="n">
        <v>14</v>
      </c>
      <c r="W86" s="23" t="n">
        <v>14</v>
      </c>
      <c r="X86" s="23" t="n">
        <v>0</v>
      </c>
      <c r="Y86" s="24" t="str">
        <f aca="false">IF($X86=0,"",ROUND($H86/$X86,2))</f>
        <v/>
      </c>
      <c r="Z86" s="24" t="str">
        <f aca="false">IF(AND($F86=0,$T86&gt;=5,$W86&gt;=3),"CENSURADO",IF(AND($Y86&lt;&gt;"",$Y86&gt;=3,$T86&gt;=10),"CENSURADO",IF($T86=0,"SIN DATO","CONFIABLE")))</f>
        <v>CONFIABLE</v>
      </c>
      <c r="AA86" s="24" t="str">
        <f aca="false">IF($I86=0,"",ROUND($J86/MAX($I86,0.01),2))</f>
        <v/>
      </c>
      <c r="AB86" s="24" t="n">
        <f aca="false">IF($J86&lt;=0,"",ROUND(($F86+$G86)/$J86,0))</f>
        <v>0</v>
      </c>
      <c r="AC86" s="26" t="n">
        <f aca="false">IF($AB86="","",$J$3+$AB86)</f>
        <v>46245</v>
      </c>
      <c r="AD86" s="23" t="n">
        <v>0</v>
      </c>
      <c r="AE86" s="23" t="n">
        <v>0</v>
      </c>
      <c r="AF86" s="23" t="n">
        <v>0</v>
      </c>
      <c r="AG86" s="24" t="str">
        <f aca="false">IF($AF86=0,"",MAX(0,180-$AE86))</f>
        <v/>
      </c>
      <c r="AH86" s="27" t="n">
        <v>0</v>
      </c>
      <c r="AI86" s="28" t="str">
        <f aca="false">IF($AF86=0,"",$AF86*$Q$3-$AF86*$N$3)</f>
        <v/>
      </c>
      <c r="AJ86" s="23" t="n">
        <v>1.28</v>
      </c>
      <c r="AK86" s="28" t="n">
        <f aca="false">ROUND($F86*$AJ86,0)</f>
        <v>0</v>
      </c>
      <c r="AL86" s="25" t="str">
        <f aca="false">IF(AND($F86=0,$T86&gt;0,$O86=0),"QUIEBRE Y SIN STOCK PARA ENVIAR",IF(AND($F86=0,$T86&gt;0),"QUIEBRE",IF($F86=0,"SIN STOCK SIN DEMANDA",IF(AND($AF86&gt;0,$AG86&lt;&gt;"",OR($AB86="",$AB86&gt;$AG86)),"STOCK VIEJO EN RIESGO",IF(AND($T86=0,$H86=0),"SIN ROTACION",IF($AB86="","-",IF($AB86&lt;14,"REPONER",IF($AB86&gt;84,"SOBRE-STOCK","EN RANGO"))))))))</f>
        <v>QUIEBRE</v>
      </c>
    </row>
    <row r="87" customFormat="false" ht="15" hidden="false" customHeight="false" outlineLevel="0" collapsed="false">
      <c r="A87" s="4" t="s">
        <v>94</v>
      </c>
      <c r="B87" s="23" t="s">
        <v>419</v>
      </c>
      <c r="C87" s="23" t="s">
        <v>420</v>
      </c>
      <c r="D87" s="23" t="s">
        <v>421</v>
      </c>
      <c r="E87" s="23" t="s">
        <v>422</v>
      </c>
      <c r="F87" s="23" t="n">
        <v>22</v>
      </c>
      <c r="G87" s="23" t="n">
        <v>5</v>
      </c>
      <c r="H87" s="23" t="n">
        <v>3</v>
      </c>
      <c r="I87" s="24" t="n">
        <f aca="false">ROUND($H87/30,2)</f>
        <v>0.1</v>
      </c>
      <c r="J87" s="25" t="n">
        <f aca="false">IF($Z87="CENSURADO",ROUND($T87/MAX($V87,3),2),ROUND($T87/$G$3,2))</f>
        <v>0.13</v>
      </c>
      <c r="K87" s="24" t="n">
        <f aca="false">ROUNDUP($J87*$C$3*7,0)</f>
        <v>3</v>
      </c>
      <c r="L87" s="24" t="n">
        <f aca="false">MAX(0,$K87-$F87-$G87)</f>
        <v>0</v>
      </c>
      <c r="M87" s="23" t="n">
        <v>2680</v>
      </c>
      <c r="N87" s="23" t="n">
        <v>1498</v>
      </c>
      <c r="O87" s="24" t="n">
        <f aca="false">$M87+$N87</f>
        <v>4178</v>
      </c>
      <c r="P87" s="25" t="n">
        <f aca="false">MIN($L87,$O87)</f>
        <v>0</v>
      </c>
      <c r="Q87" s="23" t="s">
        <v>99</v>
      </c>
      <c r="R87" s="23" t="n">
        <v>2</v>
      </c>
      <c r="S87" s="23" t="s">
        <v>100</v>
      </c>
      <c r="T87" s="23" t="n">
        <v>4</v>
      </c>
      <c r="U87" s="23" t="n">
        <v>3</v>
      </c>
      <c r="V87" s="23" t="n">
        <v>4</v>
      </c>
      <c r="W87" s="23" t="n">
        <v>18</v>
      </c>
      <c r="X87" s="23" t="n">
        <v>31</v>
      </c>
      <c r="Y87" s="24" t="n">
        <f aca="false">IF($X87=0,"",ROUND($H87/$X87,2))</f>
        <v>0.1</v>
      </c>
      <c r="Z87" s="24" t="str">
        <f aca="false">IF(AND($F87=0,$T87&gt;=5,$W87&gt;=3),"CENSURADO",IF(AND($Y87&lt;&gt;"",$Y87&gt;=3,$T87&gt;=10),"CENSURADO",IF($T87=0,"SIN DATO","CONFIABLE")))</f>
        <v>CONFIABLE</v>
      </c>
      <c r="AA87" s="24" t="n">
        <f aca="false">IF($I87=0,"",ROUND($J87/MAX($I87,0.01),2))</f>
        <v>1.3</v>
      </c>
      <c r="AB87" s="24" t="n">
        <f aca="false">IF($J87&lt;=0,"",ROUND(($F87+$G87)/$J87,0))</f>
        <v>208</v>
      </c>
      <c r="AC87" s="26" t="n">
        <f aca="false">IF($AB87="","",$J$3+$AB87)</f>
        <v>46453</v>
      </c>
      <c r="AD87" s="23" t="n">
        <v>0</v>
      </c>
      <c r="AE87" s="23" t="n">
        <v>130</v>
      </c>
      <c r="AF87" s="23" t="n">
        <v>9</v>
      </c>
      <c r="AG87" s="24" t="n">
        <f aca="false">IF($AF87=0,"",MAX(0,180-$AE87))</f>
        <v>50</v>
      </c>
      <c r="AH87" s="27" t="n">
        <v>4230</v>
      </c>
      <c r="AI87" s="28" t="n">
        <f aca="false">IF($AF87=0,"",$AF87*$Q$3-$AF87*$N$3)</f>
        <v>36135</v>
      </c>
      <c r="AJ87" s="23" t="n">
        <v>31.79</v>
      </c>
      <c r="AK87" s="28" t="n">
        <f aca="false">ROUND($F87*$AJ87,0)</f>
        <v>699</v>
      </c>
      <c r="AL87" s="25" t="str">
        <f aca="false">IF(AND($F87=0,$T87&gt;0,$O87=0),"QUIEBRE Y SIN STOCK PARA ENVIAR",IF(AND($F87=0,$T87&gt;0),"QUIEBRE",IF($F87=0,"SIN STOCK SIN DEMANDA",IF(AND($AF87&gt;0,$AG87&lt;&gt;"",OR($AB87="",$AB87&gt;$AG87)),"STOCK VIEJO EN RIESGO",IF(AND($T87=0,$H87=0),"SIN ROTACION",IF($AB87="","-",IF($AB87&lt;14,"REPONER",IF($AB87&gt;84,"SOBRE-STOCK","EN RANGO"))))))))</f>
        <v>STOCK VIEJO EN RIESGO</v>
      </c>
    </row>
    <row r="88" customFormat="false" ht="15" hidden="false" customHeight="false" outlineLevel="0" collapsed="false">
      <c r="A88" s="4" t="s">
        <v>94</v>
      </c>
      <c r="B88" s="23" t="s">
        <v>423</v>
      </c>
      <c r="C88" s="23" t="s">
        <v>424</v>
      </c>
      <c r="D88" s="23" t="s">
        <v>425</v>
      </c>
      <c r="E88" s="23" t="s">
        <v>426</v>
      </c>
      <c r="F88" s="23" t="n">
        <v>27</v>
      </c>
      <c r="G88" s="23" t="n">
        <v>0</v>
      </c>
      <c r="H88" s="23" t="n">
        <v>2</v>
      </c>
      <c r="I88" s="24" t="n">
        <f aca="false">ROUND($H88/30,2)</f>
        <v>0.07</v>
      </c>
      <c r="J88" s="25" t="n">
        <f aca="false">IF($Z88="CENSURADO",ROUND($T88/MAX($V88,3),2),ROUND($T88/$G$3,2))</f>
        <v>0.09</v>
      </c>
      <c r="K88" s="24" t="n">
        <f aca="false">ROUNDUP($J88*$C$3*7,0)</f>
        <v>2</v>
      </c>
      <c r="L88" s="24" t="n">
        <f aca="false">MAX(0,$K88-$F88-$G88)</f>
        <v>0</v>
      </c>
      <c r="M88" s="23" t="n">
        <v>1</v>
      </c>
      <c r="N88" s="23" t="n">
        <v>10</v>
      </c>
      <c r="O88" s="24" t="n">
        <f aca="false">$M88+$N88</f>
        <v>11</v>
      </c>
      <c r="P88" s="25" t="n">
        <f aca="false">MIN($L88,$O88)</f>
        <v>0</v>
      </c>
      <c r="Q88" s="23" t="s">
        <v>99</v>
      </c>
      <c r="R88" s="23" t="n">
        <v>1</v>
      </c>
      <c r="S88" s="23" t="s">
        <v>100</v>
      </c>
      <c r="T88" s="23" t="n">
        <v>3</v>
      </c>
      <c r="U88" s="23" t="n">
        <v>2</v>
      </c>
      <c r="V88" s="23" t="n">
        <v>2</v>
      </c>
      <c r="W88" s="23" t="n">
        <v>29</v>
      </c>
      <c r="X88" s="23" t="n">
        <v>27</v>
      </c>
      <c r="Y88" s="24" t="n">
        <f aca="false">IF($X88=0,"",ROUND($H88/$X88,2))</f>
        <v>0.07</v>
      </c>
      <c r="Z88" s="24" t="str">
        <f aca="false">IF(AND($F88=0,$T88&gt;=5,$W88&gt;=3),"CENSURADO",IF(AND($Y88&lt;&gt;"",$Y88&gt;=3,$T88&gt;=10),"CENSURADO",IF($T88=0,"SIN DATO","CONFIABLE")))</f>
        <v>CONFIABLE</v>
      </c>
      <c r="AA88" s="24" t="n">
        <f aca="false">IF($I88=0,"",ROUND($J88/MAX($I88,0.01),2))</f>
        <v>1.29</v>
      </c>
      <c r="AB88" s="24" t="n">
        <f aca="false">IF($J88&lt;=0,"",ROUND(($F88+$G88)/$J88,0))</f>
        <v>300</v>
      </c>
      <c r="AC88" s="26" t="n">
        <f aca="false">IF($AB88="","",$J$3+$AB88)</f>
        <v>46545</v>
      </c>
      <c r="AD88" s="23" t="n">
        <v>0</v>
      </c>
      <c r="AE88" s="23" t="n">
        <v>170</v>
      </c>
      <c r="AF88" s="23" t="n">
        <v>23</v>
      </c>
      <c r="AG88" s="24" t="n">
        <f aca="false">IF($AF88=0,"",MAX(0,180-$AE88))</f>
        <v>10</v>
      </c>
      <c r="AH88" s="27" t="n">
        <v>10810</v>
      </c>
      <c r="AI88" s="28" t="n">
        <f aca="false">IF($AF88=0,"",$AF88*$Q$3-$AF88*$N$3)</f>
        <v>92345</v>
      </c>
      <c r="AJ88" s="23" t="n">
        <v>4.46</v>
      </c>
      <c r="AK88" s="28" t="n">
        <f aca="false">ROUND($F88*$AJ88,0)</f>
        <v>120</v>
      </c>
      <c r="AL88" s="25" t="str">
        <f aca="false">IF(AND($F88=0,$T88&gt;0,$O88=0),"QUIEBRE Y SIN STOCK PARA ENVIAR",IF(AND($F88=0,$T88&gt;0),"QUIEBRE",IF($F88=0,"SIN STOCK SIN DEMANDA",IF(AND($AF88&gt;0,$AG88&lt;&gt;"",OR($AB88="",$AB88&gt;$AG88)),"STOCK VIEJO EN RIESGO",IF(AND($T88=0,$H88=0),"SIN ROTACION",IF($AB88="","-",IF($AB88&lt;14,"REPONER",IF($AB88&gt;84,"SOBRE-STOCK","EN RANGO"))))))))</f>
        <v>STOCK VIEJO EN RIESGO</v>
      </c>
    </row>
    <row r="89" customFormat="false" ht="15" hidden="false" customHeight="false" outlineLevel="0" collapsed="false">
      <c r="A89" s="4" t="s">
        <v>94</v>
      </c>
      <c r="B89" s="23" t="s">
        <v>427</v>
      </c>
      <c r="C89" s="23" t="s">
        <v>428</v>
      </c>
      <c r="D89" s="23" t="s">
        <v>429</v>
      </c>
      <c r="E89" s="23" t="s">
        <v>430</v>
      </c>
      <c r="F89" s="23" t="n">
        <v>19</v>
      </c>
      <c r="G89" s="23" t="n">
        <v>0</v>
      </c>
      <c r="H89" s="23" t="n">
        <v>1</v>
      </c>
      <c r="I89" s="24" t="n">
        <f aca="false">ROUND($H89/30,2)</f>
        <v>0.03</v>
      </c>
      <c r="J89" s="25" t="n">
        <f aca="false">IF($Z89="CENSURADO",ROUND($T89/MAX($V89,3),2),ROUND($T89/$G$3,2))</f>
        <v>0.09</v>
      </c>
      <c r="K89" s="24" t="n">
        <f aca="false">ROUNDUP($J89*$C$3*7,0)</f>
        <v>2</v>
      </c>
      <c r="L89" s="24" t="n">
        <f aca="false">MAX(0,$K89-$F89-$G89)</f>
        <v>0</v>
      </c>
      <c r="M89" s="23" t="n">
        <v>118</v>
      </c>
      <c r="N89" s="23" t="n">
        <v>101</v>
      </c>
      <c r="O89" s="24" t="n">
        <f aca="false">$M89+$N89</f>
        <v>219</v>
      </c>
      <c r="P89" s="25" t="n">
        <f aca="false">MIN($L89,$O89)</f>
        <v>0</v>
      </c>
      <c r="Q89" s="23" t="s">
        <v>99</v>
      </c>
      <c r="R89" s="23" t="n">
        <v>1</v>
      </c>
      <c r="S89" s="23" t="s">
        <v>100</v>
      </c>
      <c r="T89" s="23" t="n">
        <v>3</v>
      </c>
      <c r="U89" s="23" t="n">
        <v>3</v>
      </c>
      <c r="V89" s="23" t="n">
        <v>22</v>
      </c>
      <c r="W89" s="23" t="n">
        <v>8</v>
      </c>
      <c r="X89" s="23" t="n">
        <v>20</v>
      </c>
      <c r="Y89" s="24" t="n">
        <f aca="false">IF($X89=0,"",ROUND($H89/$X89,2))</f>
        <v>0.05</v>
      </c>
      <c r="Z89" s="24" t="str">
        <f aca="false">IF(AND($F89=0,$T89&gt;=5,$W89&gt;=3),"CENSURADO",IF(AND($Y89&lt;&gt;"",$Y89&gt;=3,$T89&gt;=10),"CENSURADO",IF($T89=0,"SIN DATO","CONFIABLE")))</f>
        <v>CONFIABLE</v>
      </c>
      <c r="AA89" s="24" t="n">
        <f aca="false">IF($I89=0,"",ROUND($J89/MAX($I89,0.01),2))</f>
        <v>3</v>
      </c>
      <c r="AB89" s="24" t="n">
        <f aca="false">IF($J89&lt;=0,"",ROUND(($F89+$G89)/$J89,0))</f>
        <v>211</v>
      </c>
      <c r="AC89" s="26" t="n">
        <f aca="false">IF($AB89="","",$J$3+$AB89)</f>
        <v>46456</v>
      </c>
      <c r="AD89" s="23" t="n">
        <v>0</v>
      </c>
      <c r="AE89" s="23" t="n">
        <v>0</v>
      </c>
      <c r="AF89" s="23" t="n">
        <v>0</v>
      </c>
      <c r="AG89" s="24" t="str">
        <f aca="false">IF($AF89=0,"",MAX(0,180-$AE89))</f>
        <v/>
      </c>
      <c r="AH89" s="27" t="n">
        <v>0</v>
      </c>
      <c r="AI89" s="28" t="str">
        <f aca="false">IF($AF89=0,"",$AF89*$Q$3-$AF89*$N$3)</f>
        <v/>
      </c>
      <c r="AJ89" s="23" t="n">
        <v>0</v>
      </c>
      <c r="AK89" s="28" t="n">
        <f aca="false">ROUND($F89*$AJ89,0)</f>
        <v>0</v>
      </c>
      <c r="AL89" s="25" t="str">
        <f aca="false">IF(AND($F89=0,$T89&gt;0,$O89=0),"QUIEBRE Y SIN STOCK PARA ENVIAR",IF(AND($F89=0,$T89&gt;0),"QUIEBRE",IF($F89=0,"SIN STOCK SIN DEMANDA",IF(AND($AF89&gt;0,$AG89&lt;&gt;"",OR($AB89="",$AB89&gt;$AG89)),"STOCK VIEJO EN RIESGO",IF(AND($T89=0,$H89=0),"SIN ROTACION",IF($AB89="","-",IF($AB89&lt;14,"REPONER",IF($AB89&gt;84,"SOBRE-STOCK","EN RANGO"))))))))</f>
        <v>SOBRE-STOCK</v>
      </c>
    </row>
    <row r="90" customFormat="false" ht="15" hidden="false" customHeight="false" outlineLevel="0" collapsed="false">
      <c r="A90" s="4" t="s">
        <v>94</v>
      </c>
      <c r="B90" s="23" t="s">
        <v>431</v>
      </c>
      <c r="C90" s="23" t="s">
        <v>432</v>
      </c>
      <c r="D90" s="23" t="s">
        <v>433</v>
      </c>
      <c r="E90" s="23" t="s">
        <v>434</v>
      </c>
      <c r="F90" s="23" t="n">
        <v>50</v>
      </c>
      <c r="G90" s="23" t="n">
        <v>0</v>
      </c>
      <c r="H90" s="23" t="n">
        <v>3</v>
      </c>
      <c r="I90" s="24" t="n">
        <f aca="false">ROUND($H90/30,2)</f>
        <v>0.1</v>
      </c>
      <c r="J90" s="25" t="n">
        <f aca="false">IF($Z90="CENSURADO",ROUND($T90/MAX($V90,3),2),ROUND($T90/$G$3,2))</f>
        <v>0.09</v>
      </c>
      <c r="K90" s="24" t="n">
        <f aca="false">ROUNDUP($J90*$C$3*7,0)</f>
        <v>2</v>
      </c>
      <c r="L90" s="24" t="n">
        <f aca="false">MAX(0,$K90-$F90-$G90)</f>
        <v>0</v>
      </c>
      <c r="M90" s="23" t="n">
        <v>3</v>
      </c>
      <c r="N90" s="23" t="n">
        <v>0</v>
      </c>
      <c r="O90" s="24" t="n">
        <f aca="false">$M90+$N90</f>
        <v>3</v>
      </c>
      <c r="P90" s="25" t="n">
        <f aca="false">MIN($L90,$O90)</f>
        <v>0</v>
      </c>
      <c r="Q90" s="23" t="s">
        <v>99</v>
      </c>
      <c r="R90" s="23" t="n">
        <v>1</v>
      </c>
      <c r="S90" s="23" t="s">
        <v>100</v>
      </c>
      <c r="T90" s="23" t="n">
        <v>3</v>
      </c>
      <c r="U90" s="23" t="n">
        <v>3</v>
      </c>
      <c r="V90" s="23" t="n">
        <v>10</v>
      </c>
      <c r="W90" s="23" t="n">
        <v>6</v>
      </c>
      <c r="X90" s="23" t="n">
        <v>52</v>
      </c>
      <c r="Y90" s="24" t="n">
        <f aca="false">IF($X90=0,"",ROUND($H90/$X90,2))</f>
        <v>0.06</v>
      </c>
      <c r="Z90" s="24" t="str">
        <f aca="false">IF(AND($F90=0,$T90&gt;=5,$W90&gt;=3),"CENSURADO",IF(AND($Y90&lt;&gt;"",$Y90&gt;=3,$T90&gt;=10),"CENSURADO",IF($T90=0,"SIN DATO","CONFIABLE")))</f>
        <v>CONFIABLE</v>
      </c>
      <c r="AA90" s="24" t="n">
        <f aca="false">IF($I90=0,"",ROUND($J90/MAX($I90,0.01),2))</f>
        <v>0.9</v>
      </c>
      <c r="AB90" s="24" t="n">
        <f aca="false">IF($J90&lt;=0,"",ROUND(($F90+$G90)/$J90,0))</f>
        <v>556</v>
      </c>
      <c r="AC90" s="26" t="n">
        <f aca="false">IF($AB90="","",$J$3+$AB90)</f>
        <v>46801</v>
      </c>
      <c r="AD90" s="23" t="n">
        <v>0</v>
      </c>
      <c r="AE90" s="23" t="n">
        <v>0</v>
      </c>
      <c r="AF90" s="23" t="n">
        <v>0</v>
      </c>
      <c r="AG90" s="24" t="str">
        <f aca="false">IF($AF90=0,"",MAX(0,180-$AE90))</f>
        <v/>
      </c>
      <c r="AH90" s="27" t="n">
        <v>0</v>
      </c>
      <c r="AI90" s="28" t="str">
        <f aca="false">IF($AF90=0,"",$AF90*$Q$3-$AF90*$N$3)</f>
        <v/>
      </c>
      <c r="AJ90" s="23" t="n">
        <v>27.29</v>
      </c>
      <c r="AK90" s="28" t="n">
        <f aca="false">ROUND($F90*$AJ90,0)</f>
        <v>1365</v>
      </c>
      <c r="AL90" s="25" t="str">
        <f aca="false">IF(AND($F90=0,$T90&gt;0,$O90=0),"QUIEBRE Y SIN STOCK PARA ENVIAR",IF(AND($F90=0,$T90&gt;0),"QUIEBRE",IF($F90=0,"SIN STOCK SIN DEMANDA",IF(AND($AF90&gt;0,$AG90&lt;&gt;"",OR($AB90="",$AB90&gt;$AG90)),"STOCK VIEJO EN RIESGO",IF(AND($T90=0,$H90=0),"SIN ROTACION",IF($AB90="","-",IF($AB90&lt;14,"REPONER",IF($AB90&gt;84,"SOBRE-STOCK","EN RANGO"))))))))</f>
        <v>SOBRE-STOCK</v>
      </c>
    </row>
    <row r="91" customFormat="false" ht="15" hidden="false" customHeight="false" outlineLevel="0" collapsed="false">
      <c r="A91" s="4" t="s">
        <v>94</v>
      </c>
      <c r="B91" s="23" t="s">
        <v>435</v>
      </c>
      <c r="C91" s="23" t="s">
        <v>436</v>
      </c>
      <c r="D91" s="23" t="s">
        <v>437</v>
      </c>
      <c r="E91" s="23" t="s">
        <v>438</v>
      </c>
      <c r="F91" s="23" t="n">
        <v>14</v>
      </c>
      <c r="G91" s="23" t="n">
        <v>0</v>
      </c>
      <c r="H91" s="23" t="n">
        <v>1</v>
      </c>
      <c r="I91" s="24" t="n">
        <f aca="false">ROUND($H91/30,2)</f>
        <v>0.03</v>
      </c>
      <c r="J91" s="25" t="n">
        <f aca="false">IF($Z91="CENSURADO",ROUND($T91/MAX($V91,3),2),ROUND($T91/$G$3,2))</f>
        <v>0.09</v>
      </c>
      <c r="K91" s="24" t="n">
        <f aca="false">ROUNDUP($J91*$C$3*7,0)</f>
        <v>2</v>
      </c>
      <c r="L91" s="24" t="n">
        <f aca="false">MAX(0,$K91-$F91-$G91)</f>
        <v>0</v>
      </c>
      <c r="M91" s="23" t="n">
        <v>896</v>
      </c>
      <c r="N91" s="23" t="n">
        <v>282</v>
      </c>
      <c r="O91" s="24" t="n">
        <f aca="false">$M91+$N91</f>
        <v>1178</v>
      </c>
      <c r="P91" s="25" t="n">
        <f aca="false">MIN($L91,$O91)</f>
        <v>0</v>
      </c>
      <c r="Q91" s="23" t="s">
        <v>99</v>
      </c>
      <c r="R91" s="23" t="n">
        <v>1</v>
      </c>
      <c r="S91" s="23" t="s">
        <v>100</v>
      </c>
      <c r="T91" s="23" t="n">
        <v>3</v>
      </c>
      <c r="U91" s="23" t="n">
        <v>3</v>
      </c>
      <c r="V91" s="23" t="n">
        <v>15</v>
      </c>
      <c r="W91" s="23" t="n">
        <v>2</v>
      </c>
      <c r="X91" s="23" t="n">
        <v>15</v>
      </c>
      <c r="Y91" s="24" t="n">
        <f aca="false">IF($X91=0,"",ROUND($H91/$X91,2))</f>
        <v>0.07</v>
      </c>
      <c r="Z91" s="24" t="str">
        <f aca="false">IF(AND($F91=0,$T91&gt;=5,$W91&gt;=3),"CENSURADO",IF(AND($Y91&lt;&gt;"",$Y91&gt;=3,$T91&gt;=10),"CENSURADO",IF($T91=0,"SIN DATO","CONFIABLE")))</f>
        <v>CONFIABLE</v>
      </c>
      <c r="AA91" s="24" t="n">
        <f aca="false">IF($I91=0,"",ROUND($J91/MAX($I91,0.01),2))</f>
        <v>3</v>
      </c>
      <c r="AB91" s="24" t="n">
        <f aca="false">IF($J91&lt;=0,"",ROUND(($F91+$G91)/$J91,0))</f>
        <v>156</v>
      </c>
      <c r="AC91" s="26" t="n">
        <f aca="false">IF($AB91="","",$J$3+$AB91)</f>
        <v>46401</v>
      </c>
      <c r="AD91" s="23" t="n">
        <v>0</v>
      </c>
      <c r="AE91" s="23" t="n">
        <v>0</v>
      </c>
      <c r="AF91" s="23" t="n">
        <v>0</v>
      </c>
      <c r="AG91" s="24" t="str">
        <f aca="false">IF($AF91=0,"",MAX(0,180-$AE91))</f>
        <v/>
      </c>
      <c r="AH91" s="27" t="n">
        <v>0</v>
      </c>
      <c r="AI91" s="28" t="str">
        <f aca="false">IF($AF91=0,"",$AF91*$Q$3-$AF91*$N$3)</f>
        <v/>
      </c>
      <c r="AJ91" s="23" t="n">
        <v>11.85</v>
      </c>
      <c r="AK91" s="28" t="n">
        <f aca="false">ROUND($F91*$AJ91,0)</f>
        <v>166</v>
      </c>
      <c r="AL91" s="25" t="str">
        <f aca="false">IF(AND($F91=0,$T91&gt;0,$O91=0),"QUIEBRE Y SIN STOCK PARA ENVIAR",IF(AND($F91=0,$T91&gt;0),"QUIEBRE",IF($F91=0,"SIN STOCK SIN DEMANDA",IF(AND($AF91&gt;0,$AG91&lt;&gt;"",OR($AB91="",$AB91&gt;$AG91)),"STOCK VIEJO EN RIESGO",IF(AND($T91=0,$H91=0),"SIN ROTACION",IF($AB91="","-",IF($AB91&lt;14,"REPONER",IF($AB91&gt;84,"SOBRE-STOCK","EN RANGO"))))))))</f>
        <v>SOBRE-STOCK</v>
      </c>
    </row>
    <row r="92" customFormat="false" ht="15" hidden="false" customHeight="false" outlineLevel="0" collapsed="false">
      <c r="A92" s="4" t="s">
        <v>94</v>
      </c>
      <c r="B92" s="23" t="s">
        <v>439</v>
      </c>
      <c r="C92" s="23" t="s">
        <v>440</v>
      </c>
      <c r="D92" s="23" t="s">
        <v>441</v>
      </c>
      <c r="E92" s="23" t="s">
        <v>442</v>
      </c>
      <c r="F92" s="23" t="n">
        <v>25</v>
      </c>
      <c r="G92" s="23" t="n">
        <v>5</v>
      </c>
      <c r="H92" s="23" t="n">
        <v>0</v>
      </c>
      <c r="I92" s="24" t="n">
        <f aca="false">ROUND($H92/30,2)</f>
        <v>0</v>
      </c>
      <c r="J92" s="25" t="n">
        <f aca="false">IF($Z92="CENSURADO",ROUND($T92/MAX($V92,3),2),ROUND($T92/$G$3,2))</f>
        <v>0.09</v>
      </c>
      <c r="K92" s="24" t="n">
        <f aca="false">ROUNDUP($J92*$C$3*7,0)</f>
        <v>2</v>
      </c>
      <c r="L92" s="24" t="n">
        <f aca="false">MAX(0,$K92-$F92-$G92)</f>
        <v>0</v>
      </c>
      <c r="M92" s="23" t="n">
        <v>12038</v>
      </c>
      <c r="N92" s="23" t="n">
        <v>50</v>
      </c>
      <c r="O92" s="24" t="n">
        <f aca="false">$M92+$N92</f>
        <v>12088</v>
      </c>
      <c r="P92" s="25" t="n">
        <f aca="false">MIN($L92,$O92)</f>
        <v>0</v>
      </c>
      <c r="Q92" s="23" t="s">
        <v>99</v>
      </c>
      <c r="R92" s="23" t="n">
        <v>1</v>
      </c>
      <c r="S92" s="23" t="s">
        <v>133</v>
      </c>
      <c r="T92" s="23" t="n">
        <v>3</v>
      </c>
      <c r="U92" s="23" t="n">
        <v>3</v>
      </c>
      <c r="V92" s="23" t="n">
        <v>10</v>
      </c>
      <c r="W92" s="23" t="n">
        <v>3</v>
      </c>
      <c r="X92" s="23" t="n">
        <v>24</v>
      </c>
      <c r="Y92" s="24" t="n">
        <f aca="false">IF($X92=0,"",ROUND($H92/$X92,2))</f>
        <v>0</v>
      </c>
      <c r="Z92" s="24" t="str">
        <f aca="false">IF(AND($F92=0,$T92&gt;=5,$W92&gt;=3),"CENSURADO",IF(AND($Y92&lt;&gt;"",$Y92&gt;=3,$T92&gt;=10),"CENSURADO",IF($T92=0,"SIN DATO","CONFIABLE")))</f>
        <v>CONFIABLE</v>
      </c>
      <c r="AA92" s="24" t="str">
        <f aca="false">IF($I92=0,"",ROUND($J92/MAX($I92,0.01),2))</f>
        <v/>
      </c>
      <c r="AB92" s="24" t="n">
        <f aca="false">IF($J92&lt;=0,"",ROUND(($F92+$G92)/$J92,0))</f>
        <v>333</v>
      </c>
      <c r="AC92" s="26" t="n">
        <f aca="false">IF($AB92="","",$J$3+$AB92)</f>
        <v>46578</v>
      </c>
      <c r="AD92" s="23" t="n">
        <v>0</v>
      </c>
      <c r="AE92" s="23" t="n">
        <v>0</v>
      </c>
      <c r="AF92" s="23" t="n">
        <v>0</v>
      </c>
      <c r="AG92" s="24" t="str">
        <f aca="false">IF($AF92=0,"",MAX(0,180-$AE92))</f>
        <v/>
      </c>
      <c r="AH92" s="27" t="n">
        <v>0</v>
      </c>
      <c r="AI92" s="28" t="str">
        <f aca="false">IF($AF92=0,"",$AF92*$Q$3-$AF92*$N$3)</f>
        <v/>
      </c>
      <c r="AJ92" s="23" t="n">
        <v>0.93</v>
      </c>
      <c r="AK92" s="28" t="n">
        <f aca="false">ROUND($F92*$AJ92,0)</f>
        <v>23</v>
      </c>
      <c r="AL92" s="25" t="str">
        <f aca="false">IF(AND($F92=0,$T92&gt;0,$O92=0),"QUIEBRE Y SIN STOCK PARA ENVIAR",IF(AND($F92=0,$T92&gt;0),"QUIEBRE",IF($F92=0,"SIN STOCK SIN DEMANDA",IF(AND($AF92&gt;0,$AG92&lt;&gt;"",OR($AB92="",$AB92&gt;$AG92)),"STOCK VIEJO EN RIESGO",IF(AND($T92=0,$H92=0),"SIN ROTACION",IF($AB92="","-",IF($AB92&lt;14,"REPONER",IF($AB92&gt;84,"SOBRE-STOCK","EN RANGO"))))))))</f>
        <v>SOBRE-STOCK</v>
      </c>
    </row>
    <row r="93" customFormat="false" ht="15" hidden="false" customHeight="false" outlineLevel="0" collapsed="false">
      <c r="A93" s="4" t="s">
        <v>94</v>
      </c>
      <c r="B93" s="23" t="s">
        <v>443</v>
      </c>
      <c r="C93" s="23" t="s">
        <v>444</v>
      </c>
      <c r="D93" s="23" t="s">
        <v>445</v>
      </c>
      <c r="E93" s="23" t="s">
        <v>446</v>
      </c>
      <c r="F93" s="23" t="n">
        <v>0</v>
      </c>
      <c r="G93" s="23" t="n">
        <v>0</v>
      </c>
      <c r="H93" s="23" t="n">
        <v>0</v>
      </c>
      <c r="I93" s="24" t="n">
        <f aca="false">ROUND($H93/30,2)</f>
        <v>0</v>
      </c>
      <c r="J93" s="25" t="n">
        <f aca="false">IF($Z93="CENSURADO",ROUND($T93/MAX($V93,3),2),ROUND($T93/$G$3,2))</f>
        <v>0.06</v>
      </c>
      <c r="K93" s="24" t="n">
        <f aca="false">ROUNDUP($J93*$C$3*7,0)</f>
        <v>2</v>
      </c>
      <c r="L93" s="24" t="n">
        <f aca="false">MAX(0,$K93-$F93-$G93)</f>
        <v>2</v>
      </c>
      <c r="M93" s="23" t="n">
        <v>26</v>
      </c>
      <c r="N93" s="23" t="n">
        <v>161</v>
      </c>
      <c r="O93" s="24" t="n">
        <f aca="false">$M93+$N93</f>
        <v>187</v>
      </c>
      <c r="P93" s="25" t="n">
        <f aca="false">MIN($L93,$O93)</f>
        <v>2</v>
      </c>
      <c r="Q93" s="23"/>
      <c r="R93" s="23" t="n">
        <v>1</v>
      </c>
      <c r="S93" s="23" t="s">
        <v>211</v>
      </c>
      <c r="T93" s="23" t="n">
        <v>2</v>
      </c>
      <c r="U93" s="23" t="n">
        <v>2</v>
      </c>
      <c r="V93" s="23" t="n">
        <v>7</v>
      </c>
      <c r="W93" s="23" t="n">
        <v>1</v>
      </c>
      <c r="X93" s="23" t="n">
        <v>0</v>
      </c>
      <c r="Y93" s="24" t="str">
        <f aca="false">IF($X93=0,"",ROUND($H93/$X93,2))</f>
        <v/>
      </c>
      <c r="Z93" s="24" t="str">
        <f aca="false">IF(AND($F93=0,$T93&gt;=5,$W93&gt;=3),"CENSURADO",IF(AND($Y93&lt;&gt;"",$Y93&gt;=3,$T93&gt;=10),"CENSURADO",IF($T93=0,"SIN DATO","CONFIABLE")))</f>
        <v>CONFIABLE</v>
      </c>
      <c r="AA93" s="24" t="str">
        <f aca="false">IF($I93=0,"",ROUND($J93/MAX($I93,0.01),2))</f>
        <v/>
      </c>
      <c r="AB93" s="24" t="n">
        <f aca="false">IF($J93&lt;=0,"",ROUND(($F93+$G93)/$J93,0))</f>
        <v>0</v>
      </c>
      <c r="AC93" s="26" t="n">
        <f aca="false">IF($AB93="","",$J$3+$AB93)</f>
        <v>46245</v>
      </c>
      <c r="AD93" s="23" t="n">
        <v>0</v>
      </c>
      <c r="AE93" s="23" t="n">
        <v>0</v>
      </c>
      <c r="AF93" s="23" t="n">
        <v>0</v>
      </c>
      <c r="AG93" s="24" t="str">
        <f aca="false">IF($AF93=0,"",MAX(0,180-$AE93))</f>
        <v/>
      </c>
      <c r="AH93" s="27" t="n">
        <v>0</v>
      </c>
      <c r="AI93" s="28" t="str">
        <f aca="false">IF($AF93=0,"",$AF93*$Q$3-$AF93*$N$3)</f>
        <v/>
      </c>
      <c r="AJ93" s="23" t="n">
        <v>41.8</v>
      </c>
      <c r="AK93" s="28" t="n">
        <f aca="false">ROUND($F93*$AJ93,0)</f>
        <v>0</v>
      </c>
      <c r="AL93" s="25" t="str">
        <f aca="false">IF(AND($F93=0,$T93&gt;0,$O93=0),"QUIEBRE Y SIN STOCK PARA ENVIAR",IF(AND($F93=0,$T93&gt;0),"QUIEBRE",IF($F93=0,"SIN STOCK SIN DEMANDA",IF(AND($AF93&gt;0,$AG93&lt;&gt;"",OR($AB93="",$AB93&gt;$AG93)),"STOCK VIEJO EN RIESGO",IF(AND($T93=0,$H93=0),"SIN ROTACION",IF($AB93="","-",IF($AB93&lt;14,"REPONER",IF($AB93&gt;84,"SOBRE-STOCK","EN RANGO"))))))))</f>
        <v>QUIEBRE</v>
      </c>
    </row>
    <row r="94" customFormat="false" ht="15" hidden="false" customHeight="false" outlineLevel="0" collapsed="false">
      <c r="A94" s="4" t="s">
        <v>94</v>
      </c>
      <c r="B94" s="23" t="s">
        <v>447</v>
      </c>
      <c r="C94" s="23" t="s">
        <v>448</v>
      </c>
      <c r="D94" s="23" t="s">
        <v>449</v>
      </c>
      <c r="E94" s="23" t="s">
        <v>450</v>
      </c>
      <c r="F94" s="23" t="n">
        <v>11</v>
      </c>
      <c r="G94" s="23" t="n">
        <v>0</v>
      </c>
      <c r="H94" s="23" t="n">
        <v>2</v>
      </c>
      <c r="I94" s="24" t="n">
        <f aca="false">ROUND($H94/30,2)</f>
        <v>0.07</v>
      </c>
      <c r="J94" s="25" t="n">
        <f aca="false">IF($Z94="CENSURADO",ROUND($T94/MAX($V94,3),2),ROUND($T94/$G$3,2))</f>
        <v>0.06</v>
      </c>
      <c r="K94" s="24" t="n">
        <f aca="false">ROUNDUP($J94*$C$3*7,0)</f>
        <v>2</v>
      </c>
      <c r="L94" s="24" t="n">
        <f aca="false">MAX(0,$K94-$F94-$G94)</f>
        <v>0</v>
      </c>
      <c r="M94" s="23" t="n">
        <v>184</v>
      </c>
      <c r="N94" s="23" t="n">
        <v>207</v>
      </c>
      <c r="O94" s="24" t="n">
        <f aca="false">$M94+$N94</f>
        <v>391</v>
      </c>
      <c r="P94" s="25" t="n">
        <f aca="false">MIN($L94,$O94)</f>
        <v>0</v>
      </c>
      <c r="Q94" s="23" t="s">
        <v>99</v>
      </c>
      <c r="R94" s="23" t="n">
        <v>1</v>
      </c>
      <c r="S94" s="23" t="s">
        <v>100</v>
      </c>
      <c r="T94" s="23" t="n">
        <v>2</v>
      </c>
      <c r="U94" s="23" t="n">
        <v>1</v>
      </c>
      <c r="V94" s="23" t="n">
        <v>1</v>
      </c>
      <c r="W94" s="23" t="n">
        <v>12</v>
      </c>
      <c r="X94" s="23" t="n">
        <v>12</v>
      </c>
      <c r="Y94" s="24" t="n">
        <f aca="false">IF($X94=0,"",ROUND($H94/$X94,2))</f>
        <v>0.17</v>
      </c>
      <c r="Z94" s="24" t="str">
        <f aca="false">IF(AND($F94=0,$T94&gt;=5,$W94&gt;=3),"CENSURADO",IF(AND($Y94&lt;&gt;"",$Y94&gt;=3,$T94&gt;=10),"CENSURADO",IF($T94=0,"SIN DATO","CONFIABLE")))</f>
        <v>CONFIABLE</v>
      </c>
      <c r="AA94" s="24" t="n">
        <f aca="false">IF($I94=0,"",ROUND($J94/MAX($I94,0.01),2))</f>
        <v>0.86</v>
      </c>
      <c r="AB94" s="24" t="n">
        <f aca="false">IF($J94&lt;=0,"",ROUND(($F94+$G94)/$J94,0))</f>
        <v>183</v>
      </c>
      <c r="AC94" s="26" t="n">
        <f aca="false">IF($AB94="","",$J$3+$AB94)</f>
        <v>46428</v>
      </c>
      <c r="AD94" s="23" t="n">
        <v>0</v>
      </c>
      <c r="AE94" s="23" t="n">
        <v>0</v>
      </c>
      <c r="AF94" s="23" t="n">
        <v>0</v>
      </c>
      <c r="AG94" s="24" t="str">
        <f aca="false">IF($AF94=0,"",MAX(0,180-$AE94))</f>
        <v/>
      </c>
      <c r="AH94" s="27" t="n">
        <v>0</v>
      </c>
      <c r="AI94" s="28" t="str">
        <f aca="false">IF($AF94=0,"",$AF94*$Q$3-$AF94*$N$3)</f>
        <v/>
      </c>
      <c r="AJ94" s="23" t="n">
        <v>6.68</v>
      </c>
      <c r="AK94" s="28" t="n">
        <f aca="false">ROUND($F94*$AJ94,0)</f>
        <v>73</v>
      </c>
      <c r="AL94" s="25" t="str">
        <f aca="false">IF(AND($F94=0,$T94&gt;0,$O94=0),"QUIEBRE Y SIN STOCK PARA ENVIAR",IF(AND($F94=0,$T94&gt;0),"QUIEBRE",IF($F94=0,"SIN STOCK SIN DEMANDA",IF(AND($AF94&gt;0,$AG94&lt;&gt;"",OR($AB94="",$AB94&gt;$AG94)),"STOCK VIEJO EN RIESGO",IF(AND($T94=0,$H94=0),"SIN ROTACION",IF($AB94="","-",IF($AB94&lt;14,"REPONER",IF($AB94&gt;84,"SOBRE-STOCK","EN RANGO"))))))))</f>
        <v>SOBRE-STOCK</v>
      </c>
    </row>
    <row r="95" customFormat="false" ht="15" hidden="false" customHeight="false" outlineLevel="0" collapsed="false">
      <c r="A95" s="4" t="s">
        <v>94</v>
      </c>
      <c r="B95" s="23" t="s">
        <v>451</v>
      </c>
      <c r="C95" s="23" t="s">
        <v>452</v>
      </c>
      <c r="D95" s="23" t="s">
        <v>453</v>
      </c>
      <c r="E95" s="23" t="s">
        <v>454</v>
      </c>
      <c r="F95" s="23" t="n">
        <v>33</v>
      </c>
      <c r="G95" s="23" t="n">
        <v>0</v>
      </c>
      <c r="H95" s="23" t="n">
        <v>0</v>
      </c>
      <c r="I95" s="24" t="n">
        <f aca="false">ROUND($H95/30,2)</f>
        <v>0</v>
      </c>
      <c r="J95" s="25" t="n">
        <f aca="false">IF($Z95="CENSURADO",ROUND($T95/MAX($V95,3),2),ROUND($T95/$G$3,2))</f>
        <v>0.06</v>
      </c>
      <c r="K95" s="24" t="n">
        <f aca="false">ROUNDUP($J95*$C$3*7,0)</f>
        <v>2</v>
      </c>
      <c r="L95" s="24" t="n">
        <f aca="false">MAX(0,$K95-$F95-$G95)</f>
        <v>0</v>
      </c>
      <c r="M95" s="23" t="n">
        <v>0</v>
      </c>
      <c r="N95" s="23" t="n">
        <v>85</v>
      </c>
      <c r="O95" s="24" t="n">
        <f aca="false">$M95+$N95</f>
        <v>85</v>
      </c>
      <c r="P95" s="25" t="n">
        <f aca="false">MIN($L95,$O95)</f>
        <v>0</v>
      </c>
      <c r="Q95" s="23" t="s">
        <v>99</v>
      </c>
      <c r="R95" s="23" t="n">
        <v>1</v>
      </c>
      <c r="S95" s="23" t="s">
        <v>133</v>
      </c>
      <c r="T95" s="23" t="n">
        <v>2</v>
      </c>
      <c r="U95" s="23" t="n">
        <v>2</v>
      </c>
      <c r="V95" s="23" t="n">
        <v>5</v>
      </c>
      <c r="W95" s="23" t="n">
        <v>13</v>
      </c>
      <c r="X95" s="23" t="n">
        <v>34</v>
      </c>
      <c r="Y95" s="24" t="n">
        <f aca="false">IF($X95=0,"",ROUND($H95/$X95,2))</f>
        <v>0</v>
      </c>
      <c r="Z95" s="24" t="str">
        <f aca="false">IF(AND($F95=0,$T95&gt;=5,$W95&gt;=3),"CENSURADO",IF(AND($Y95&lt;&gt;"",$Y95&gt;=3,$T95&gt;=10),"CENSURADO",IF($T95=0,"SIN DATO","CONFIABLE")))</f>
        <v>CONFIABLE</v>
      </c>
      <c r="AA95" s="24" t="str">
        <f aca="false">IF($I95=0,"",ROUND($J95/MAX($I95,0.01),2))</f>
        <v/>
      </c>
      <c r="AB95" s="24" t="n">
        <f aca="false">IF($J95&lt;=0,"",ROUND(($F95+$G95)/$J95,0))</f>
        <v>550</v>
      </c>
      <c r="AC95" s="26" t="n">
        <f aca="false">IF($AB95="","",$J$3+$AB95)</f>
        <v>46795</v>
      </c>
      <c r="AD95" s="23" t="n">
        <v>1</v>
      </c>
      <c r="AE95" s="23" t="n">
        <v>170</v>
      </c>
      <c r="AF95" s="23" t="n">
        <v>20</v>
      </c>
      <c r="AG95" s="24" t="n">
        <f aca="false">IF($AF95=0,"",MAX(0,180-$AE95))</f>
        <v>10</v>
      </c>
      <c r="AH95" s="27" t="n">
        <v>7000</v>
      </c>
      <c r="AI95" s="28" t="n">
        <f aca="false">IF($AF95=0,"",$AF95*$Q$3-$AF95*$N$3)</f>
        <v>80300</v>
      </c>
      <c r="AJ95" s="23" t="n">
        <v>12.05</v>
      </c>
      <c r="AK95" s="28" t="n">
        <f aca="false">ROUND($F95*$AJ95,0)</f>
        <v>398</v>
      </c>
      <c r="AL95" s="25" t="str">
        <f aca="false">IF(AND($F95=0,$T95&gt;0,$O95=0),"QUIEBRE Y SIN STOCK PARA ENVIAR",IF(AND($F95=0,$T95&gt;0),"QUIEBRE",IF($F95=0,"SIN STOCK SIN DEMANDA",IF(AND($AF95&gt;0,$AG95&lt;&gt;"",OR($AB95="",$AB95&gt;$AG95)),"STOCK VIEJO EN RIESGO",IF(AND($T95=0,$H95=0),"SIN ROTACION",IF($AB95="","-",IF($AB95&lt;14,"REPONER",IF($AB95&gt;84,"SOBRE-STOCK","EN RANGO"))))))))</f>
        <v>STOCK VIEJO EN RIESGO</v>
      </c>
    </row>
    <row r="96" customFormat="false" ht="15" hidden="false" customHeight="false" outlineLevel="0" collapsed="false">
      <c r="A96" s="4" t="s">
        <v>94</v>
      </c>
      <c r="B96" s="23" t="s">
        <v>455</v>
      </c>
      <c r="C96" s="23" t="s">
        <v>456</v>
      </c>
      <c r="D96" s="23" t="s">
        <v>457</v>
      </c>
      <c r="E96" s="23" t="s">
        <v>458</v>
      </c>
      <c r="F96" s="23" t="n">
        <v>4</v>
      </c>
      <c r="G96" s="23" t="n">
        <v>0</v>
      </c>
      <c r="H96" s="23" t="n">
        <v>0</v>
      </c>
      <c r="I96" s="24" t="n">
        <f aca="false">ROUND($H96/30,2)</f>
        <v>0</v>
      </c>
      <c r="J96" s="25" t="n">
        <f aca="false">IF($Z96="CENSURADO",ROUND($T96/MAX($V96,3),2),ROUND($T96/$G$3,2))</f>
        <v>0.06</v>
      </c>
      <c r="K96" s="24" t="n">
        <f aca="false">ROUNDUP($J96*$C$3*7,0)</f>
        <v>2</v>
      </c>
      <c r="L96" s="24" t="n">
        <f aca="false">MAX(0,$K96-$F96-$G96)</f>
        <v>0</v>
      </c>
      <c r="M96" s="23" t="n">
        <v>393</v>
      </c>
      <c r="N96" s="23" t="n">
        <v>2</v>
      </c>
      <c r="O96" s="24" t="n">
        <f aca="false">$M96+$N96</f>
        <v>395</v>
      </c>
      <c r="P96" s="25" t="n">
        <f aca="false">MIN($L96,$O96)</f>
        <v>0</v>
      </c>
      <c r="Q96" s="23" t="s">
        <v>99</v>
      </c>
      <c r="R96" s="23" t="n">
        <v>1</v>
      </c>
      <c r="S96" s="23" t="s">
        <v>133</v>
      </c>
      <c r="T96" s="23" t="n">
        <v>2</v>
      </c>
      <c r="U96" s="23" t="n">
        <v>2</v>
      </c>
      <c r="V96" s="23" t="n">
        <v>6</v>
      </c>
      <c r="W96" s="23" t="n">
        <v>14</v>
      </c>
      <c r="X96" s="23" t="n">
        <v>4</v>
      </c>
      <c r="Y96" s="24" t="n">
        <f aca="false">IF($X96=0,"",ROUND($H96/$X96,2))</f>
        <v>0</v>
      </c>
      <c r="Z96" s="24" t="str">
        <f aca="false">IF(AND($F96=0,$T96&gt;=5,$W96&gt;=3),"CENSURADO",IF(AND($Y96&lt;&gt;"",$Y96&gt;=3,$T96&gt;=10),"CENSURADO",IF($T96=0,"SIN DATO","CONFIABLE")))</f>
        <v>CONFIABLE</v>
      </c>
      <c r="AA96" s="24" t="str">
        <f aca="false">IF($I96=0,"",ROUND($J96/MAX($I96,0.01),2))</f>
        <v/>
      </c>
      <c r="AB96" s="24" t="n">
        <f aca="false">IF($J96&lt;=0,"",ROUND(($F96+$G96)/$J96,0))</f>
        <v>67</v>
      </c>
      <c r="AC96" s="26" t="n">
        <f aca="false">IF($AB96="","",$J$3+$AB96)</f>
        <v>46312</v>
      </c>
      <c r="AD96" s="23" t="n">
        <v>0</v>
      </c>
      <c r="AE96" s="23" t="n">
        <v>0</v>
      </c>
      <c r="AF96" s="23" t="n">
        <v>0</v>
      </c>
      <c r="AG96" s="24" t="str">
        <f aca="false">IF($AF96=0,"",MAX(0,180-$AE96))</f>
        <v/>
      </c>
      <c r="AH96" s="27" t="n">
        <v>0</v>
      </c>
      <c r="AI96" s="28" t="str">
        <f aca="false">IF($AF96=0,"",$AF96*$Q$3-$AF96*$N$3)</f>
        <v/>
      </c>
      <c r="AJ96" s="23" t="n">
        <v>9.19</v>
      </c>
      <c r="AK96" s="28" t="n">
        <f aca="false">ROUND($F96*$AJ96,0)</f>
        <v>37</v>
      </c>
      <c r="AL96" s="25" t="str">
        <f aca="false">IF(AND($F96=0,$T96&gt;0,$O96=0),"QUIEBRE Y SIN STOCK PARA ENVIAR",IF(AND($F96=0,$T96&gt;0),"QUIEBRE",IF($F96=0,"SIN STOCK SIN DEMANDA",IF(AND($AF96&gt;0,$AG96&lt;&gt;"",OR($AB96="",$AB96&gt;$AG96)),"STOCK VIEJO EN RIESGO",IF(AND($T96=0,$H96=0),"SIN ROTACION",IF($AB96="","-",IF($AB96&lt;14,"REPONER",IF($AB96&gt;84,"SOBRE-STOCK","EN RANGO"))))))))</f>
        <v>EN RANGO</v>
      </c>
    </row>
    <row r="97" customFormat="false" ht="15" hidden="false" customHeight="false" outlineLevel="0" collapsed="false">
      <c r="A97" s="4" t="s">
        <v>94</v>
      </c>
      <c r="B97" s="23" t="s">
        <v>459</v>
      </c>
      <c r="C97" s="23" t="s">
        <v>460</v>
      </c>
      <c r="D97" s="23" t="s">
        <v>461</v>
      </c>
      <c r="E97" s="23" t="s">
        <v>462</v>
      </c>
      <c r="F97" s="23" t="n">
        <v>24</v>
      </c>
      <c r="G97" s="23" t="n">
        <v>5</v>
      </c>
      <c r="H97" s="23" t="n">
        <v>1</v>
      </c>
      <c r="I97" s="24" t="n">
        <f aca="false">ROUND($H97/30,2)</f>
        <v>0.03</v>
      </c>
      <c r="J97" s="25" t="n">
        <f aca="false">IF($Z97="CENSURADO",ROUND($T97/MAX($V97,3),2),ROUND($T97/$G$3,2))</f>
        <v>0.06</v>
      </c>
      <c r="K97" s="24" t="n">
        <f aca="false">ROUNDUP($J97*$C$3*7,0)</f>
        <v>2</v>
      </c>
      <c r="L97" s="24" t="n">
        <f aca="false">MAX(0,$K97-$F97-$G97)</f>
        <v>0</v>
      </c>
      <c r="M97" s="23" t="n">
        <v>324</v>
      </c>
      <c r="N97" s="23" t="n">
        <v>45</v>
      </c>
      <c r="O97" s="24" t="n">
        <f aca="false">$M97+$N97</f>
        <v>369</v>
      </c>
      <c r="P97" s="25" t="n">
        <f aca="false">MIN($L97,$O97)</f>
        <v>0</v>
      </c>
      <c r="Q97" s="23" t="s">
        <v>99</v>
      </c>
      <c r="R97" s="23" t="n">
        <v>1</v>
      </c>
      <c r="S97" s="23" t="s">
        <v>100</v>
      </c>
      <c r="T97" s="23" t="n">
        <v>2</v>
      </c>
      <c r="U97" s="23" t="n">
        <v>2</v>
      </c>
      <c r="V97" s="23" t="n">
        <v>25</v>
      </c>
      <c r="W97" s="23" t="n">
        <v>6</v>
      </c>
      <c r="X97" s="23" t="n">
        <v>23</v>
      </c>
      <c r="Y97" s="24" t="n">
        <f aca="false">IF($X97=0,"",ROUND($H97/$X97,2))</f>
        <v>0.04</v>
      </c>
      <c r="Z97" s="24" t="str">
        <f aca="false">IF(AND($F97=0,$T97&gt;=5,$W97&gt;=3),"CENSURADO",IF(AND($Y97&lt;&gt;"",$Y97&gt;=3,$T97&gt;=10),"CENSURADO",IF($T97=0,"SIN DATO","CONFIABLE")))</f>
        <v>CONFIABLE</v>
      </c>
      <c r="AA97" s="24" t="n">
        <f aca="false">IF($I97=0,"",ROUND($J97/MAX($I97,0.01),2))</f>
        <v>2</v>
      </c>
      <c r="AB97" s="24" t="n">
        <f aca="false">IF($J97&lt;=0,"",ROUND(($F97+$G97)/$J97,0))</f>
        <v>483</v>
      </c>
      <c r="AC97" s="26" t="n">
        <f aca="false">IF($AB97="","",$J$3+$AB97)</f>
        <v>46728</v>
      </c>
      <c r="AD97" s="23" t="n">
        <v>0</v>
      </c>
      <c r="AE97" s="23" t="n">
        <v>0</v>
      </c>
      <c r="AF97" s="23" t="n">
        <v>0</v>
      </c>
      <c r="AG97" s="24" t="str">
        <f aca="false">IF($AF97=0,"",MAX(0,180-$AE97))</f>
        <v/>
      </c>
      <c r="AH97" s="27" t="n">
        <v>0</v>
      </c>
      <c r="AI97" s="28" t="str">
        <f aca="false">IF($AF97=0,"",$AF97*$Q$3-$AF97*$N$3)</f>
        <v/>
      </c>
      <c r="AJ97" s="23" t="n">
        <v>17.31</v>
      </c>
      <c r="AK97" s="28" t="n">
        <f aca="false">ROUND($F97*$AJ97,0)</f>
        <v>415</v>
      </c>
      <c r="AL97" s="25" t="str">
        <f aca="false">IF(AND($F97=0,$T97&gt;0,$O97=0),"QUIEBRE Y SIN STOCK PARA ENVIAR",IF(AND($F97=0,$T97&gt;0),"QUIEBRE",IF($F97=0,"SIN STOCK SIN DEMANDA",IF(AND($AF97&gt;0,$AG97&lt;&gt;"",OR($AB97="",$AB97&gt;$AG97)),"STOCK VIEJO EN RIESGO",IF(AND($T97=0,$H97=0),"SIN ROTACION",IF($AB97="","-",IF($AB97&lt;14,"REPONER",IF($AB97&gt;84,"SOBRE-STOCK","EN RANGO"))))))))</f>
        <v>SOBRE-STOCK</v>
      </c>
    </row>
    <row r="98" customFormat="false" ht="15" hidden="false" customHeight="false" outlineLevel="0" collapsed="false">
      <c r="A98" s="4" t="s">
        <v>94</v>
      </c>
      <c r="B98" s="23" t="s">
        <v>463</v>
      </c>
      <c r="C98" s="23" t="s">
        <v>464</v>
      </c>
      <c r="D98" s="23" t="s">
        <v>465</v>
      </c>
      <c r="E98" s="23" t="s">
        <v>466</v>
      </c>
      <c r="F98" s="23" t="n">
        <v>18</v>
      </c>
      <c r="G98" s="23" t="n">
        <v>0</v>
      </c>
      <c r="H98" s="23" t="n">
        <v>1</v>
      </c>
      <c r="I98" s="24" t="n">
        <f aca="false">ROUND($H98/30,2)</f>
        <v>0.03</v>
      </c>
      <c r="J98" s="25" t="n">
        <f aca="false">IF($Z98="CENSURADO",ROUND($T98/MAX($V98,3),2),ROUND($T98/$G$3,2))</f>
        <v>0.06</v>
      </c>
      <c r="K98" s="24" t="n">
        <f aca="false">ROUNDUP($J98*$C$3*7,0)</f>
        <v>2</v>
      </c>
      <c r="L98" s="24" t="n">
        <f aca="false">MAX(0,$K98-$F98-$G98)</f>
        <v>0</v>
      </c>
      <c r="M98" s="23" t="n">
        <v>1148</v>
      </c>
      <c r="N98" s="23" t="n">
        <v>40</v>
      </c>
      <c r="O98" s="24" t="n">
        <f aca="false">$M98+$N98</f>
        <v>1188</v>
      </c>
      <c r="P98" s="25" t="n">
        <f aca="false">MIN($L98,$O98)</f>
        <v>0</v>
      </c>
      <c r="Q98" s="23" t="s">
        <v>99</v>
      </c>
      <c r="R98" s="23" t="n">
        <v>1</v>
      </c>
      <c r="S98" s="23" t="s">
        <v>133</v>
      </c>
      <c r="T98" s="23" t="n">
        <v>2</v>
      </c>
      <c r="U98" s="23" t="n">
        <v>2</v>
      </c>
      <c r="V98" s="23" t="n">
        <v>16</v>
      </c>
      <c r="W98" s="23" t="n">
        <v>4</v>
      </c>
      <c r="X98" s="23" t="n">
        <v>18</v>
      </c>
      <c r="Y98" s="24" t="n">
        <f aca="false">IF($X98=0,"",ROUND($H98/$X98,2))</f>
        <v>0.06</v>
      </c>
      <c r="Z98" s="24" t="str">
        <f aca="false">IF(AND($F98=0,$T98&gt;=5,$W98&gt;=3),"CENSURADO",IF(AND($Y98&lt;&gt;"",$Y98&gt;=3,$T98&gt;=10),"CENSURADO",IF($T98=0,"SIN DATO","CONFIABLE")))</f>
        <v>CONFIABLE</v>
      </c>
      <c r="AA98" s="24" t="n">
        <f aca="false">IF($I98=0,"",ROUND($J98/MAX($I98,0.01),2))</f>
        <v>2</v>
      </c>
      <c r="AB98" s="24" t="n">
        <f aca="false">IF($J98&lt;=0,"",ROUND(($F98+$G98)/$J98,0))</f>
        <v>300</v>
      </c>
      <c r="AC98" s="26" t="n">
        <f aca="false">IF($AB98="","",$J$3+$AB98)</f>
        <v>46545</v>
      </c>
      <c r="AD98" s="23" t="n">
        <v>0</v>
      </c>
      <c r="AE98" s="23" t="n">
        <v>0</v>
      </c>
      <c r="AF98" s="23" t="n">
        <v>0</v>
      </c>
      <c r="AG98" s="24" t="str">
        <f aca="false">IF($AF98=0,"",MAX(0,180-$AE98))</f>
        <v/>
      </c>
      <c r="AH98" s="27" t="n">
        <v>0</v>
      </c>
      <c r="AI98" s="28" t="str">
        <f aca="false">IF($AF98=0,"",$AF98*$Q$3-$AF98*$N$3)</f>
        <v/>
      </c>
      <c r="AJ98" s="23" t="n">
        <v>6.27</v>
      </c>
      <c r="AK98" s="28" t="n">
        <f aca="false">ROUND($F98*$AJ98,0)</f>
        <v>113</v>
      </c>
      <c r="AL98" s="25" t="str">
        <f aca="false">IF(AND($F98=0,$T98&gt;0,$O98=0),"QUIEBRE Y SIN STOCK PARA ENVIAR",IF(AND($F98=0,$T98&gt;0),"QUIEBRE",IF($F98=0,"SIN STOCK SIN DEMANDA",IF(AND($AF98&gt;0,$AG98&lt;&gt;"",OR($AB98="",$AB98&gt;$AG98)),"STOCK VIEJO EN RIESGO",IF(AND($T98=0,$H98=0),"SIN ROTACION",IF($AB98="","-",IF($AB98&lt;14,"REPONER",IF($AB98&gt;84,"SOBRE-STOCK","EN RANGO"))))))))</f>
        <v>SOBRE-STOCK</v>
      </c>
    </row>
    <row r="99" customFormat="false" ht="15" hidden="false" customHeight="false" outlineLevel="0" collapsed="false">
      <c r="A99" s="4" t="s">
        <v>94</v>
      </c>
      <c r="B99" s="23" t="s">
        <v>467</v>
      </c>
      <c r="C99" s="23" t="s">
        <v>468</v>
      </c>
      <c r="D99" s="23" t="s">
        <v>469</v>
      </c>
      <c r="E99" s="23" t="s">
        <v>470</v>
      </c>
      <c r="F99" s="23" t="n">
        <v>19</v>
      </c>
      <c r="G99" s="23" t="n">
        <v>0</v>
      </c>
      <c r="H99" s="23" t="n">
        <v>1</v>
      </c>
      <c r="I99" s="24" t="n">
        <f aca="false">ROUND($H99/30,2)</f>
        <v>0.03</v>
      </c>
      <c r="J99" s="25" t="n">
        <f aca="false">IF($Z99="CENSURADO",ROUND($T99/MAX($V99,3),2),ROUND($T99/$G$3,2))</f>
        <v>0.03</v>
      </c>
      <c r="K99" s="24" t="n">
        <f aca="false">ROUNDUP($J99*$C$3*7,0)</f>
        <v>1</v>
      </c>
      <c r="L99" s="24" t="n">
        <f aca="false">MAX(0,$K99-$F99-$G99)</f>
        <v>0</v>
      </c>
      <c r="M99" s="23" t="n">
        <v>1529</v>
      </c>
      <c r="N99" s="23" t="n">
        <v>81</v>
      </c>
      <c r="O99" s="24" t="n">
        <f aca="false">$M99+$N99</f>
        <v>1610</v>
      </c>
      <c r="P99" s="25" t="n">
        <f aca="false">MIN($L99,$O99)</f>
        <v>0</v>
      </c>
      <c r="Q99" s="23" t="s">
        <v>99</v>
      </c>
      <c r="R99" s="23" t="n">
        <v>1</v>
      </c>
      <c r="S99" s="23" t="s">
        <v>100</v>
      </c>
      <c r="T99" s="23" t="n">
        <v>1</v>
      </c>
      <c r="U99" s="23" t="n">
        <v>1</v>
      </c>
      <c r="V99" s="23" t="n">
        <v>1</v>
      </c>
      <c r="W99" s="23" t="n">
        <v>4</v>
      </c>
      <c r="X99" s="23" t="n">
        <v>20</v>
      </c>
      <c r="Y99" s="24" t="n">
        <f aca="false">IF($X99=0,"",ROUND($H99/$X99,2))</f>
        <v>0.05</v>
      </c>
      <c r="Z99" s="24" t="str">
        <f aca="false">IF(AND($F99=0,$T99&gt;=5,$W99&gt;=3),"CENSURADO",IF(AND($Y99&lt;&gt;"",$Y99&gt;=3,$T99&gt;=10),"CENSURADO",IF($T99=0,"SIN DATO","CONFIABLE")))</f>
        <v>CONFIABLE</v>
      </c>
      <c r="AA99" s="24" t="n">
        <f aca="false">IF($I99=0,"",ROUND($J99/MAX($I99,0.01),2))</f>
        <v>1</v>
      </c>
      <c r="AB99" s="24" t="n">
        <f aca="false">IF($J99&lt;=0,"",ROUND(($F99+$G99)/$J99,0))</f>
        <v>633</v>
      </c>
      <c r="AC99" s="26" t="n">
        <f aca="false">IF($AB99="","",$J$3+$AB99)</f>
        <v>46878</v>
      </c>
      <c r="AD99" s="23" t="n">
        <v>0</v>
      </c>
      <c r="AE99" s="23" t="n">
        <v>0</v>
      </c>
      <c r="AF99" s="23" t="n">
        <v>0</v>
      </c>
      <c r="AG99" s="24" t="str">
        <f aca="false">IF($AF99=0,"",MAX(0,180-$AE99))</f>
        <v/>
      </c>
      <c r="AH99" s="27" t="n">
        <v>0</v>
      </c>
      <c r="AI99" s="28" t="str">
        <f aca="false">IF($AF99=0,"",$AF99*$Q$3-$AF99*$N$3)</f>
        <v/>
      </c>
      <c r="AJ99" s="23" t="n">
        <v>3.27</v>
      </c>
      <c r="AK99" s="28" t="n">
        <f aca="false">ROUND($F99*$AJ99,0)</f>
        <v>62</v>
      </c>
      <c r="AL99" s="25" t="str">
        <f aca="false">IF(AND($F99=0,$T99&gt;0,$O99=0),"QUIEBRE Y SIN STOCK PARA ENVIAR",IF(AND($F99=0,$T99&gt;0),"QUIEBRE",IF($F99=0,"SIN STOCK SIN DEMANDA",IF(AND($AF99&gt;0,$AG99&lt;&gt;"",OR($AB99="",$AB99&gt;$AG99)),"STOCK VIEJO EN RIESGO",IF(AND($T99=0,$H99=0),"SIN ROTACION",IF($AB99="","-",IF($AB99&lt;14,"REPONER",IF($AB99&gt;84,"SOBRE-STOCK","EN RANGO"))))))))</f>
        <v>SOBRE-STOCK</v>
      </c>
    </row>
    <row r="100" customFormat="false" ht="15" hidden="false" customHeight="false" outlineLevel="0" collapsed="false">
      <c r="A100" s="4" t="s">
        <v>94</v>
      </c>
      <c r="B100" s="23" t="s">
        <v>471</v>
      </c>
      <c r="C100" s="23" t="s">
        <v>472</v>
      </c>
      <c r="D100" s="23" t="s">
        <v>473</v>
      </c>
      <c r="E100" s="23" t="s">
        <v>474</v>
      </c>
      <c r="F100" s="23" t="n">
        <v>7</v>
      </c>
      <c r="G100" s="23" t="n">
        <v>0</v>
      </c>
      <c r="H100" s="23" t="n">
        <v>1</v>
      </c>
      <c r="I100" s="24" t="n">
        <f aca="false">ROUND($H100/30,2)</f>
        <v>0.03</v>
      </c>
      <c r="J100" s="25" t="n">
        <f aca="false">IF($Z100="CENSURADO",ROUND($T100/MAX($V100,3),2),ROUND($T100/$G$3,2))</f>
        <v>0.03</v>
      </c>
      <c r="K100" s="24" t="n">
        <f aca="false">ROUNDUP($J100*$C$3*7,0)</f>
        <v>1</v>
      </c>
      <c r="L100" s="24" t="n">
        <f aca="false">MAX(0,$K100-$F100-$G100)</f>
        <v>0</v>
      </c>
      <c r="M100" s="23" t="n">
        <v>561</v>
      </c>
      <c r="N100" s="23" t="n">
        <v>237</v>
      </c>
      <c r="O100" s="24" t="n">
        <f aca="false">$M100+$N100</f>
        <v>798</v>
      </c>
      <c r="P100" s="25" t="n">
        <f aca="false">MIN($L100,$O100)</f>
        <v>0</v>
      </c>
      <c r="Q100" s="23" t="s">
        <v>99</v>
      </c>
      <c r="R100" s="23" t="n">
        <v>1</v>
      </c>
      <c r="S100" s="23" t="s">
        <v>100</v>
      </c>
      <c r="T100" s="23" t="n">
        <v>1</v>
      </c>
      <c r="U100" s="23" t="n">
        <v>1</v>
      </c>
      <c r="V100" s="23" t="n">
        <v>1</v>
      </c>
      <c r="W100" s="23" t="n">
        <v>21</v>
      </c>
      <c r="X100" s="23" t="n">
        <v>7</v>
      </c>
      <c r="Y100" s="24" t="n">
        <f aca="false">IF($X100=0,"",ROUND($H100/$X100,2))</f>
        <v>0.14</v>
      </c>
      <c r="Z100" s="24" t="str">
        <f aca="false">IF(AND($F100=0,$T100&gt;=5,$W100&gt;=3),"CENSURADO",IF(AND($Y100&lt;&gt;"",$Y100&gt;=3,$T100&gt;=10),"CENSURADO",IF($T100=0,"SIN DATO","CONFIABLE")))</f>
        <v>CONFIABLE</v>
      </c>
      <c r="AA100" s="24" t="n">
        <f aca="false">IF($I100=0,"",ROUND($J100/MAX($I100,0.01),2))</f>
        <v>1</v>
      </c>
      <c r="AB100" s="24" t="n">
        <f aca="false">IF($J100&lt;=0,"",ROUND(($F100+$G100)/$J100,0))</f>
        <v>233</v>
      </c>
      <c r="AC100" s="26" t="n">
        <f aca="false">IF($AB100="","",$J$3+$AB100)</f>
        <v>46478</v>
      </c>
      <c r="AD100" s="23" t="n">
        <v>0</v>
      </c>
      <c r="AE100" s="23" t="n">
        <v>123</v>
      </c>
      <c r="AF100" s="23" t="n">
        <v>3</v>
      </c>
      <c r="AG100" s="24" t="n">
        <f aca="false">IF($AF100=0,"",MAX(0,180-$AE100))</f>
        <v>57</v>
      </c>
      <c r="AH100" s="27" t="n">
        <v>1410</v>
      </c>
      <c r="AI100" s="28" t="n">
        <f aca="false">IF($AF100=0,"",$AF100*$Q$3-$AF100*$N$3)</f>
        <v>12045</v>
      </c>
      <c r="AJ100" s="23" t="n">
        <v>20.19</v>
      </c>
      <c r="AK100" s="28" t="n">
        <f aca="false">ROUND($F100*$AJ100,0)</f>
        <v>141</v>
      </c>
      <c r="AL100" s="25" t="str">
        <f aca="false">IF(AND($F100=0,$T100&gt;0,$O100=0),"QUIEBRE Y SIN STOCK PARA ENVIAR",IF(AND($F100=0,$T100&gt;0),"QUIEBRE",IF($F100=0,"SIN STOCK SIN DEMANDA",IF(AND($AF100&gt;0,$AG100&lt;&gt;"",OR($AB100="",$AB100&gt;$AG100)),"STOCK VIEJO EN RIESGO",IF(AND($T100=0,$H100=0),"SIN ROTACION",IF($AB100="","-",IF($AB100&lt;14,"REPONER",IF($AB100&gt;84,"SOBRE-STOCK","EN RANGO"))))))))</f>
        <v>STOCK VIEJO EN RIESGO</v>
      </c>
    </row>
    <row r="101" customFormat="false" ht="15" hidden="false" customHeight="false" outlineLevel="0" collapsed="false">
      <c r="A101" s="4" t="s">
        <v>94</v>
      </c>
      <c r="B101" s="23" t="s">
        <v>475</v>
      </c>
      <c r="C101" s="23" t="s">
        <v>476</v>
      </c>
      <c r="D101" s="23" t="s">
        <v>477</v>
      </c>
      <c r="E101" s="23" t="s">
        <v>478</v>
      </c>
      <c r="F101" s="23" t="n">
        <v>0</v>
      </c>
      <c r="G101" s="23" t="n">
        <v>5</v>
      </c>
      <c r="H101" s="23" t="n">
        <v>0</v>
      </c>
      <c r="I101" s="24" t="n">
        <f aca="false">ROUND($H101/30,2)</f>
        <v>0</v>
      </c>
      <c r="J101" s="25" t="n">
        <f aca="false">IF($Z101="CENSURADO",ROUND($T101/MAX($V101,3),2),ROUND($T101/$G$3,2))</f>
        <v>0.03</v>
      </c>
      <c r="K101" s="24" t="n">
        <f aca="false">ROUNDUP($J101*$C$3*7,0)</f>
        <v>1</v>
      </c>
      <c r="L101" s="24" t="n">
        <f aca="false">MAX(0,$K101-$F101-$G101)</f>
        <v>0</v>
      </c>
      <c r="M101" s="23" t="n">
        <v>1292</v>
      </c>
      <c r="N101" s="23" t="n">
        <v>101</v>
      </c>
      <c r="O101" s="24" t="n">
        <f aca="false">$M101+$N101</f>
        <v>1393</v>
      </c>
      <c r="P101" s="25" t="n">
        <f aca="false">MIN($L101,$O101)</f>
        <v>0</v>
      </c>
      <c r="Q101" s="23" t="s">
        <v>99</v>
      </c>
      <c r="R101" s="23" t="n">
        <v>1</v>
      </c>
      <c r="S101" s="23" t="s">
        <v>100</v>
      </c>
      <c r="T101" s="23" t="n">
        <v>1</v>
      </c>
      <c r="U101" s="23" t="n">
        <v>1</v>
      </c>
      <c r="V101" s="23" t="n">
        <v>1</v>
      </c>
      <c r="W101" s="23" t="n">
        <v>18</v>
      </c>
      <c r="X101" s="23" t="n">
        <v>2</v>
      </c>
      <c r="Y101" s="24" t="n">
        <f aca="false">IF($X101=0,"",ROUND($H101/$X101,2))</f>
        <v>0</v>
      </c>
      <c r="Z101" s="24" t="str">
        <f aca="false">IF(AND($F101=0,$T101&gt;=5,$W101&gt;=3),"CENSURADO",IF(AND($Y101&lt;&gt;"",$Y101&gt;=3,$T101&gt;=10),"CENSURADO",IF($T101=0,"SIN DATO","CONFIABLE")))</f>
        <v>CONFIABLE</v>
      </c>
      <c r="AA101" s="24" t="str">
        <f aca="false">IF($I101=0,"",ROUND($J101/MAX($I101,0.01),2))</f>
        <v/>
      </c>
      <c r="AB101" s="24" t="n">
        <f aca="false">IF($J101&lt;=0,"",ROUND(($F101+$G101)/$J101,0))</f>
        <v>167</v>
      </c>
      <c r="AC101" s="26" t="n">
        <f aca="false">IF($AB101="","",$J$3+$AB101)</f>
        <v>46412</v>
      </c>
      <c r="AD101" s="23" t="n">
        <v>0</v>
      </c>
      <c r="AE101" s="23" t="n">
        <v>123</v>
      </c>
      <c r="AF101" s="23" t="n">
        <v>10</v>
      </c>
      <c r="AG101" s="24" t="n">
        <f aca="false">IF($AF101=0,"",MAX(0,180-$AE101))</f>
        <v>57</v>
      </c>
      <c r="AH101" s="27" t="n">
        <v>4700</v>
      </c>
      <c r="AI101" s="28" t="n">
        <f aca="false">IF($AF101=0,"",$AF101*$Q$3-$AF101*$N$3)</f>
        <v>40150</v>
      </c>
      <c r="AJ101" s="23" t="n">
        <v>30.02</v>
      </c>
      <c r="AK101" s="28" t="n">
        <f aca="false">ROUND($F101*$AJ101,0)</f>
        <v>0</v>
      </c>
      <c r="AL101" s="25" t="str">
        <f aca="false">IF(AND($F101=0,$T101&gt;0,$O101=0),"QUIEBRE Y SIN STOCK PARA ENVIAR",IF(AND($F101=0,$T101&gt;0),"QUIEBRE",IF($F101=0,"SIN STOCK SIN DEMANDA",IF(AND($AF101&gt;0,$AG101&lt;&gt;"",OR($AB101="",$AB101&gt;$AG101)),"STOCK VIEJO EN RIESGO",IF(AND($T101=0,$H101=0),"SIN ROTACION",IF($AB101="","-",IF($AB101&lt;14,"REPONER",IF($AB101&gt;84,"SOBRE-STOCK","EN RANGO"))))))))</f>
        <v>QUIEBRE</v>
      </c>
    </row>
    <row r="102" customFormat="false" ht="15" hidden="false" customHeight="false" outlineLevel="0" collapsed="false">
      <c r="A102" s="4" t="s">
        <v>94</v>
      </c>
      <c r="B102" s="23" t="s">
        <v>479</v>
      </c>
      <c r="C102" s="23" t="s">
        <v>480</v>
      </c>
      <c r="D102" s="23" t="s">
        <v>481</v>
      </c>
      <c r="E102" s="23" t="s">
        <v>482</v>
      </c>
      <c r="F102" s="23" t="n">
        <v>13</v>
      </c>
      <c r="G102" s="23" t="n">
        <v>0</v>
      </c>
      <c r="H102" s="23" t="n">
        <v>0</v>
      </c>
      <c r="I102" s="24" t="n">
        <f aca="false">ROUND($H102/30,2)</f>
        <v>0</v>
      </c>
      <c r="J102" s="25" t="n">
        <f aca="false">IF($Z102="CENSURADO",ROUND($T102/MAX($V102,3),2),ROUND($T102/$G$3,2))</f>
        <v>0.03</v>
      </c>
      <c r="K102" s="24" t="n">
        <f aca="false">ROUNDUP($J102*$C$3*7,0)</f>
        <v>1</v>
      </c>
      <c r="L102" s="24" t="n">
        <f aca="false">MAX(0,$K102-$F102-$G102)</f>
        <v>0</v>
      </c>
      <c r="M102" s="23" t="n">
        <v>59</v>
      </c>
      <c r="N102" s="23" t="n">
        <v>10</v>
      </c>
      <c r="O102" s="24" t="n">
        <f aca="false">$M102+$N102</f>
        <v>69</v>
      </c>
      <c r="P102" s="25" t="n">
        <f aca="false">MIN($L102,$O102)</f>
        <v>0</v>
      </c>
      <c r="Q102" s="23" t="s">
        <v>99</v>
      </c>
      <c r="R102" s="23" t="n">
        <v>1</v>
      </c>
      <c r="S102" s="23" t="s">
        <v>133</v>
      </c>
      <c r="T102" s="23" t="n">
        <v>1</v>
      </c>
      <c r="U102" s="23" t="n">
        <v>1</v>
      </c>
      <c r="V102" s="23" t="n">
        <v>1</v>
      </c>
      <c r="W102" s="23" t="n">
        <v>1</v>
      </c>
      <c r="X102" s="23" t="n">
        <v>13</v>
      </c>
      <c r="Y102" s="24" t="n">
        <f aca="false">IF($X102=0,"",ROUND($H102/$X102,2))</f>
        <v>0</v>
      </c>
      <c r="Z102" s="24" t="str">
        <f aca="false">IF(AND($F102=0,$T102&gt;=5,$W102&gt;=3),"CENSURADO",IF(AND($Y102&lt;&gt;"",$Y102&gt;=3,$T102&gt;=10),"CENSURADO",IF($T102=0,"SIN DATO","CONFIABLE")))</f>
        <v>CONFIABLE</v>
      </c>
      <c r="AA102" s="24" t="str">
        <f aca="false">IF($I102=0,"",ROUND($J102/MAX($I102,0.01),2))</f>
        <v/>
      </c>
      <c r="AB102" s="24" t="n">
        <f aca="false">IF($J102&lt;=0,"",ROUND(($F102+$G102)/$J102,0))</f>
        <v>433</v>
      </c>
      <c r="AC102" s="26" t="n">
        <f aca="false">IF($AB102="","",$J$3+$AB102)</f>
        <v>46678</v>
      </c>
      <c r="AD102" s="23" t="n">
        <v>0</v>
      </c>
      <c r="AE102" s="23" t="n">
        <v>0</v>
      </c>
      <c r="AF102" s="23" t="n">
        <v>0</v>
      </c>
      <c r="AG102" s="24" t="str">
        <f aca="false">IF($AF102=0,"",MAX(0,180-$AE102))</f>
        <v/>
      </c>
      <c r="AH102" s="27" t="n">
        <v>0</v>
      </c>
      <c r="AI102" s="28" t="str">
        <f aca="false">IF($AF102=0,"",$AF102*$Q$3-$AF102*$N$3)</f>
        <v/>
      </c>
      <c r="AJ102" s="23" t="n">
        <v>19.01</v>
      </c>
      <c r="AK102" s="28" t="n">
        <f aca="false">ROUND($F102*$AJ102,0)</f>
        <v>247</v>
      </c>
      <c r="AL102" s="25" t="str">
        <f aca="false">IF(AND($F102=0,$T102&gt;0,$O102=0),"QUIEBRE Y SIN STOCK PARA ENVIAR",IF(AND($F102=0,$T102&gt;0),"QUIEBRE",IF($F102=0,"SIN STOCK SIN DEMANDA",IF(AND($AF102&gt;0,$AG102&lt;&gt;"",OR($AB102="",$AB102&gt;$AG102)),"STOCK VIEJO EN RIESGO",IF(AND($T102=0,$H102=0),"SIN ROTACION",IF($AB102="","-",IF($AB102&lt;14,"REPONER",IF($AB102&gt;84,"SOBRE-STOCK","EN RANGO"))))))))</f>
        <v>SOBRE-STOCK</v>
      </c>
    </row>
    <row r="103" customFormat="false" ht="15" hidden="false" customHeight="false" outlineLevel="0" collapsed="false">
      <c r="A103" s="4" t="s">
        <v>94</v>
      </c>
      <c r="B103" s="23" t="s">
        <v>483</v>
      </c>
      <c r="C103" s="23" t="s">
        <v>484</v>
      </c>
      <c r="D103" s="23" t="s">
        <v>485</v>
      </c>
      <c r="E103" s="23" t="s">
        <v>486</v>
      </c>
      <c r="F103" s="23" t="n">
        <v>8</v>
      </c>
      <c r="G103" s="23" t="n">
        <v>0</v>
      </c>
      <c r="H103" s="23" t="n">
        <v>1</v>
      </c>
      <c r="I103" s="24" t="n">
        <f aca="false">ROUND($H103/30,2)</f>
        <v>0.03</v>
      </c>
      <c r="J103" s="25" t="n">
        <f aca="false">IF($Z103="CENSURADO",ROUND($T103/MAX($V103,3),2),ROUND($T103/$G$3,2))</f>
        <v>0.03</v>
      </c>
      <c r="K103" s="24" t="n">
        <f aca="false">ROUNDUP($J103*$C$3*7,0)</f>
        <v>1</v>
      </c>
      <c r="L103" s="24" t="n">
        <f aca="false">MAX(0,$K103-$F103-$G103)</f>
        <v>0</v>
      </c>
      <c r="M103" s="23" t="n">
        <v>164</v>
      </c>
      <c r="N103" s="23" t="n">
        <v>104</v>
      </c>
      <c r="O103" s="24" t="n">
        <f aca="false">$M103+$N103</f>
        <v>268</v>
      </c>
      <c r="P103" s="25" t="n">
        <f aca="false">MIN($L103,$O103)</f>
        <v>0</v>
      </c>
      <c r="Q103" s="23" t="s">
        <v>99</v>
      </c>
      <c r="R103" s="23" t="n">
        <v>1</v>
      </c>
      <c r="S103" s="23" t="s">
        <v>100</v>
      </c>
      <c r="T103" s="23" t="n">
        <v>1</v>
      </c>
      <c r="U103" s="23" t="n">
        <v>1</v>
      </c>
      <c r="V103" s="23" t="n">
        <v>1</v>
      </c>
      <c r="W103" s="23" t="n">
        <v>9</v>
      </c>
      <c r="X103" s="23" t="n">
        <v>9</v>
      </c>
      <c r="Y103" s="24" t="n">
        <f aca="false">IF($X103=0,"",ROUND($H103/$X103,2))</f>
        <v>0.11</v>
      </c>
      <c r="Z103" s="24" t="str">
        <f aca="false">IF(AND($F103=0,$T103&gt;=5,$W103&gt;=3),"CENSURADO",IF(AND($Y103&lt;&gt;"",$Y103&gt;=3,$T103&gt;=10),"CENSURADO",IF($T103=0,"SIN DATO","CONFIABLE")))</f>
        <v>CONFIABLE</v>
      </c>
      <c r="AA103" s="24" t="n">
        <f aca="false">IF($I103=0,"",ROUND($J103/MAX($I103,0.01),2))</f>
        <v>1</v>
      </c>
      <c r="AB103" s="24" t="n">
        <f aca="false">IF($J103&lt;=0,"",ROUND(($F103+$G103)/$J103,0))</f>
        <v>267</v>
      </c>
      <c r="AC103" s="26" t="n">
        <f aca="false">IF($AB103="","",$J$3+$AB103)</f>
        <v>46512</v>
      </c>
      <c r="AD103" s="23" t="n">
        <v>0</v>
      </c>
      <c r="AE103" s="23" t="n">
        <v>0</v>
      </c>
      <c r="AF103" s="23" t="n">
        <v>0</v>
      </c>
      <c r="AG103" s="24" t="str">
        <f aca="false">IF($AF103=0,"",MAX(0,180-$AE103))</f>
        <v/>
      </c>
      <c r="AH103" s="27" t="n">
        <v>0</v>
      </c>
      <c r="AI103" s="28" t="str">
        <f aca="false">IF($AF103=0,"",$AF103*$Q$3-$AF103*$N$3)</f>
        <v/>
      </c>
      <c r="AJ103" s="23" t="n">
        <v>14.37</v>
      </c>
      <c r="AK103" s="28" t="n">
        <f aca="false">ROUND($F103*$AJ103,0)</f>
        <v>115</v>
      </c>
      <c r="AL103" s="25" t="str">
        <f aca="false">IF(AND($F103=0,$T103&gt;0,$O103=0),"QUIEBRE Y SIN STOCK PARA ENVIAR",IF(AND($F103=0,$T103&gt;0),"QUIEBRE",IF($F103=0,"SIN STOCK SIN DEMANDA",IF(AND($AF103&gt;0,$AG103&lt;&gt;"",OR($AB103="",$AB103&gt;$AG103)),"STOCK VIEJO EN RIESGO",IF(AND($T103=0,$H103=0),"SIN ROTACION",IF($AB103="","-",IF($AB103&lt;14,"REPONER",IF($AB103&gt;84,"SOBRE-STOCK","EN RANGO"))))))))</f>
        <v>SOBRE-STOCK</v>
      </c>
    </row>
    <row r="104" customFormat="false" ht="15" hidden="false" customHeight="false" outlineLevel="0" collapsed="false">
      <c r="A104" s="4" t="s">
        <v>94</v>
      </c>
      <c r="B104" s="23" t="s">
        <v>487</v>
      </c>
      <c r="C104" s="23" t="s">
        <v>488</v>
      </c>
      <c r="D104" s="23" t="s">
        <v>489</v>
      </c>
      <c r="E104" s="23" t="s">
        <v>490</v>
      </c>
      <c r="F104" s="23" t="n">
        <v>0</v>
      </c>
      <c r="G104" s="23" t="n">
        <v>0</v>
      </c>
      <c r="H104" s="23" t="n">
        <v>1</v>
      </c>
      <c r="I104" s="24" t="n">
        <f aca="false">ROUND($H104/30,2)</f>
        <v>0.03</v>
      </c>
      <c r="J104" s="25" t="n">
        <f aca="false">IF($Z104="CENSURADO",ROUND($T104/MAX($V104,3),2),ROUND($T104/$G$3,2))</f>
        <v>0.03</v>
      </c>
      <c r="K104" s="24" t="n">
        <f aca="false">ROUNDUP($J104*$C$3*7,0)</f>
        <v>1</v>
      </c>
      <c r="L104" s="24" t="n">
        <f aca="false">MAX(0,$K104-$F104-$G104)</f>
        <v>1</v>
      </c>
      <c r="M104" s="23" t="n">
        <v>171</v>
      </c>
      <c r="N104" s="23" t="n">
        <v>196</v>
      </c>
      <c r="O104" s="24" t="n">
        <f aca="false">$M104+$N104</f>
        <v>367</v>
      </c>
      <c r="P104" s="25" t="n">
        <f aca="false">MIN($L104,$O104)</f>
        <v>1</v>
      </c>
      <c r="Q104" s="23" t="s">
        <v>99</v>
      </c>
      <c r="R104" s="23" t="n">
        <v>1</v>
      </c>
      <c r="S104" s="23" t="s">
        <v>100</v>
      </c>
      <c r="T104" s="23" t="n">
        <v>1</v>
      </c>
      <c r="U104" s="23" t="n">
        <v>1</v>
      </c>
      <c r="V104" s="23" t="n">
        <v>1</v>
      </c>
      <c r="W104" s="23" t="n">
        <v>3</v>
      </c>
      <c r="X104" s="23" t="n">
        <v>1</v>
      </c>
      <c r="Y104" s="24" t="n">
        <f aca="false">IF($X104=0,"",ROUND($H104/$X104,2))</f>
        <v>1</v>
      </c>
      <c r="Z104" s="24" t="str">
        <f aca="false">IF(AND($F104=0,$T104&gt;=5,$W104&gt;=3),"CENSURADO",IF(AND($Y104&lt;&gt;"",$Y104&gt;=3,$T104&gt;=10),"CENSURADO",IF($T104=0,"SIN DATO","CONFIABLE")))</f>
        <v>CONFIABLE</v>
      </c>
      <c r="AA104" s="24" t="n">
        <f aca="false">IF($I104=0,"",ROUND($J104/MAX($I104,0.01),2))</f>
        <v>1</v>
      </c>
      <c r="AB104" s="24" t="n">
        <f aca="false">IF($J104&lt;=0,"",ROUND(($F104+$G104)/$J104,0))</f>
        <v>0</v>
      </c>
      <c r="AC104" s="26" t="n">
        <f aca="false">IF($AB104="","",$J$3+$AB104)</f>
        <v>46245</v>
      </c>
      <c r="AD104" s="23" t="n">
        <v>0</v>
      </c>
      <c r="AE104" s="23" t="n">
        <v>0</v>
      </c>
      <c r="AF104" s="23" t="n">
        <v>0</v>
      </c>
      <c r="AG104" s="24" t="str">
        <f aca="false">IF($AF104=0,"",MAX(0,180-$AE104))</f>
        <v/>
      </c>
      <c r="AH104" s="27" t="n">
        <v>0</v>
      </c>
      <c r="AI104" s="28" t="str">
        <f aca="false">IF($AF104=0,"",$AF104*$Q$3-$AF104*$N$3)</f>
        <v/>
      </c>
      <c r="AJ104" s="23" t="n">
        <v>13.11</v>
      </c>
      <c r="AK104" s="28" t="n">
        <f aca="false">ROUND($F104*$AJ104,0)</f>
        <v>0</v>
      </c>
      <c r="AL104" s="25" t="str">
        <f aca="false">IF(AND($F104=0,$T104&gt;0,$O104=0),"QUIEBRE Y SIN STOCK PARA ENVIAR",IF(AND($F104=0,$T104&gt;0),"QUIEBRE",IF($F104=0,"SIN STOCK SIN DEMANDA",IF(AND($AF104&gt;0,$AG104&lt;&gt;"",OR($AB104="",$AB104&gt;$AG104)),"STOCK VIEJO EN RIESGO",IF(AND($T104=0,$H104=0),"SIN ROTACION",IF($AB104="","-",IF($AB104&lt;14,"REPONER",IF($AB104&gt;84,"SOBRE-STOCK","EN RANGO"))))))))</f>
        <v>QUIEBRE</v>
      </c>
    </row>
    <row r="105" customFormat="false" ht="15" hidden="false" customHeight="false" outlineLevel="0" collapsed="false">
      <c r="A105" s="4" t="s">
        <v>94</v>
      </c>
      <c r="B105" s="23" t="s">
        <v>491</v>
      </c>
      <c r="C105" s="23" t="s">
        <v>492</v>
      </c>
      <c r="D105" s="23" t="s">
        <v>493</v>
      </c>
      <c r="E105" s="23" t="s">
        <v>494</v>
      </c>
      <c r="F105" s="23" t="n">
        <v>13</v>
      </c>
      <c r="G105" s="23" t="n">
        <v>0</v>
      </c>
      <c r="H105" s="23" t="n">
        <v>1</v>
      </c>
      <c r="I105" s="24" t="n">
        <f aca="false">ROUND($H105/30,2)</f>
        <v>0.03</v>
      </c>
      <c r="J105" s="25" t="n">
        <f aca="false">IF($Z105="CENSURADO",ROUND($T105/MAX($V105,3),2),ROUND($T105/$G$3,2))</f>
        <v>0.03</v>
      </c>
      <c r="K105" s="24" t="n">
        <f aca="false">ROUNDUP($J105*$C$3*7,0)</f>
        <v>1</v>
      </c>
      <c r="L105" s="24" t="n">
        <f aca="false">MAX(0,$K105-$F105-$G105)</f>
        <v>0</v>
      </c>
      <c r="M105" s="23" t="n">
        <v>0</v>
      </c>
      <c r="N105" s="23" t="n">
        <v>0</v>
      </c>
      <c r="O105" s="24" t="n">
        <f aca="false">$M105+$N105</f>
        <v>0</v>
      </c>
      <c r="P105" s="25" t="n">
        <f aca="false">MIN($L105,$O105)</f>
        <v>0</v>
      </c>
      <c r="Q105" s="23" t="s">
        <v>99</v>
      </c>
      <c r="R105" s="23" t="n">
        <v>1</v>
      </c>
      <c r="S105" s="23" t="s">
        <v>100</v>
      </c>
      <c r="T105" s="23" t="n">
        <v>1</v>
      </c>
      <c r="U105" s="23" t="n">
        <v>1</v>
      </c>
      <c r="V105" s="23" t="n">
        <v>1</v>
      </c>
      <c r="W105" s="23" t="n">
        <v>11</v>
      </c>
      <c r="X105" s="23" t="n">
        <v>14</v>
      </c>
      <c r="Y105" s="24" t="n">
        <f aca="false">IF($X105=0,"",ROUND($H105/$X105,2))</f>
        <v>0.07</v>
      </c>
      <c r="Z105" s="24" t="str">
        <f aca="false">IF(AND($F105=0,$T105&gt;=5,$W105&gt;=3),"CENSURADO",IF(AND($Y105&lt;&gt;"",$Y105&gt;=3,$T105&gt;=10),"CENSURADO",IF($T105=0,"SIN DATO","CONFIABLE")))</f>
        <v>CONFIABLE</v>
      </c>
      <c r="AA105" s="24" t="n">
        <f aca="false">IF($I105=0,"",ROUND($J105/MAX($I105,0.01),2))</f>
        <v>1</v>
      </c>
      <c r="AB105" s="24" t="n">
        <f aca="false">IF($J105&lt;=0,"",ROUND(($F105+$G105)/$J105,0))</f>
        <v>433</v>
      </c>
      <c r="AC105" s="26" t="n">
        <f aca="false">IF($AB105="","",$J$3+$AB105)</f>
        <v>46678</v>
      </c>
      <c r="AD105" s="23" t="n">
        <v>0</v>
      </c>
      <c r="AE105" s="23" t="n">
        <v>0</v>
      </c>
      <c r="AF105" s="23" t="n">
        <v>0</v>
      </c>
      <c r="AG105" s="24" t="str">
        <f aca="false">IF($AF105=0,"",MAX(0,180-$AE105))</f>
        <v/>
      </c>
      <c r="AH105" s="27" t="n">
        <v>0</v>
      </c>
      <c r="AI105" s="28" t="str">
        <f aca="false">IF($AF105=0,"",$AF105*$Q$3-$AF105*$N$3)</f>
        <v/>
      </c>
      <c r="AJ105" s="23" t="n">
        <v>0</v>
      </c>
      <c r="AK105" s="28" t="n">
        <f aca="false">ROUND($F105*$AJ105,0)</f>
        <v>0</v>
      </c>
      <c r="AL105" s="25" t="str">
        <f aca="false">IF(AND($F105=0,$T105&gt;0,$O105=0),"QUIEBRE Y SIN STOCK PARA ENVIAR",IF(AND($F105=0,$T105&gt;0),"QUIEBRE",IF($F105=0,"SIN STOCK SIN DEMANDA",IF(AND($AF105&gt;0,$AG105&lt;&gt;"",OR($AB105="",$AB105&gt;$AG105)),"STOCK VIEJO EN RIESGO",IF(AND($T105=0,$H105=0),"SIN ROTACION",IF($AB105="","-",IF($AB105&lt;14,"REPONER",IF($AB105&gt;84,"SOBRE-STOCK","EN RANGO"))))))))</f>
        <v>SOBRE-STOCK</v>
      </c>
    </row>
    <row r="106" customFormat="false" ht="15" hidden="false" customHeight="false" outlineLevel="0" collapsed="false">
      <c r="A106" s="4" t="s">
        <v>94</v>
      </c>
      <c r="B106" s="23" t="s">
        <v>495</v>
      </c>
      <c r="C106" s="23" t="s">
        <v>496</v>
      </c>
      <c r="D106" s="23" t="s">
        <v>497</v>
      </c>
      <c r="E106" s="23" t="s">
        <v>498</v>
      </c>
      <c r="F106" s="23" t="n">
        <v>13</v>
      </c>
      <c r="G106" s="23" t="n">
        <v>0</v>
      </c>
      <c r="H106" s="23" t="n">
        <v>0</v>
      </c>
      <c r="I106" s="24" t="n">
        <f aca="false">ROUND($H106/30,2)</f>
        <v>0</v>
      </c>
      <c r="J106" s="25" t="n">
        <f aca="false">IF($Z106="CENSURADO",ROUND($T106/MAX($V106,3),2),ROUND($T106/$G$3,2))</f>
        <v>0.03</v>
      </c>
      <c r="K106" s="24" t="n">
        <f aca="false">ROUNDUP($J106*$C$3*7,0)</f>
        <v>1</v>
      </c>
      <c r="L106" s="24" t="n">
        <f aca="false">MAX(0,$K106-$F106-$G106)</f>
        <v>0</v>
      </c>
      <c r="M106" s="23" t="n">
        <v>444</v>
      </c>
      <c r="N106" s="23" t="n">
        <v>51</v>
      </c>
      <c r="O106" s="24" t="n">
        <f aca="false">$M106+$N106</f>
        <v>495</v>
      </c>
      <c r="P106" s="25" t="n">
        <f aca="false">MIN($L106,$O106)</f>
        <v>0</v>
      </c>
      <c r="Q106" s="23" t="s">
        <v>99</v>
      </c>
      <c r="R106" s="23" t="n">
        <v>1</v>
      </c>
      <c r="S106" s="23" t="s">
        <v>100</v>
      </c>
      <c r="T106" s="23" t="n">
        <v>1</v>
      </c>
      <c r="U106" s="23" t="n">
        <v>1</v>
      </c>
      <c r="V106" s="23" t="n">
        <v>1</v>
      </c>
      <c r="W106" s="23" t="n">
        <v>1</v>
      </c>
      <c r="X106" s="23" t="n">
        <v>12</v>
      </c>
      <c r="Y106" s="24" t="n">
        <f aca="false">IF($X106=0,"",ROUND($H106/$X106,2))</f>
        <v>0</v>
      </c>
      <c r="Z106" s="24" t="str">
        <f aca="false">IF(AND($F106=0,$T106&gt;=5,$W106&gt;=3),"CENSURADO",IF(AND($Y106&lt;&gt;"",$Y106&gt;=3,$T106&gt;=10),"CENSURADO",IF($T106=0,"SIN DATO","CONFIABLE")))</f>
        <v>CONFIABLE</v>
      </c>
      <c r="AA106" s="24" t="str">
        <f aca="false">IF($I106=0,"",ROUND($J106/MAX($I106,0.01),2))</f>
        <v/>
      </c>
      <c r="AB106" s="24" t="n">
        <f aca="false">IF($J106&lt;=0,"",ROUND(($F106+$G106)/$J106,0))</f>
        <v>433</v>
      </c>
      <c r="AC106" s="26" t="n">
        <f aca="false">IF($AB106="","",$J$3+$AB106)</f>
        <v>46678</v>
      </c>
      <c r="AD106" s="23" t="n">
        <v>0</v>
      </c>
      <c r="AE106" s="23" t="n">
        <v>0</v>
      </c>
      <c r="AF106" s="23" t="n">
        <v>0</v>
      </c>
      <c r="AG106" s="24" t="str">
        <f aca="false">IF($AF106=0,"",MAX(0,180-$AE106))</f>
        <v/>
      </c>
      <c r="AH106" s="27" t="n">
        <v>0</v>
      </c>
      <c r="AI106" s="28" t="str">
        <f aca="false">IF($AF106=0,"",$AF106*$Q$3-$AF106*$N$3)</f>
        <v/>
      </c>
      <c r="AJ106" s="23" t="n">
        <v>7.97</v>
      </c>
      <c r="AK106" s="28" t="n">
        <f aca="false">ROUND($F106*$AJ106,0)</f>
        <v>104</v>
      </c>
      <c r="AL106" s="25" t="str">
        <f aca="false">IF(AND($F106=0,$T106&gt;0,$O106=0),"QUIEBRE Y SIN STOCK PARA ENVIAR",IF(AND($F106=0,$T106&gt;0),"QUIEBRE",IF($F106=0,"SIN STOCK SIN DEMANDA",IF(AND($AF106&gt;0,$AG106&lt;&gt;"",OR($AB106="",$AB106&gt;$AG106)),"STOCK VIEJO EN RIESGO",IF(AND($T106=0,$H106=0),"SIN ROTACION",IF($AB106="","-",IF($AB106&lt;14,"REPONER",IF($AB106&gt;84,"SOBRE-STOCK","EN RANGO"))))))))</f>
        <v>SOBRE-STOCK</v>
      </c>
    </row>
    <row r="107" customFormat="false" ht="15" hidden="false" customHeight="false" outlineLevel="0" collapsed="false">
      <c r="A107" s="4" t="s">
        <v>94</v>
      </c>
      <c r="B107" s="23" t="s">
        <v>499</v>
      </c>
      <c r="C107" s="23" t="s">
        <v>500</v>
      </c>
      <c r="D107" s="23" t="s">
        <v>501</v>
      </c>
      <c r="E107" s="23" t="s">
        <v>502</v>
      </c>
      <c r="F107" s="23" t="n">
        <v>23</v>
      </c>
      <c r="G107" s="23" t="n">
        <v>5</v>
      </c>
      <c r="H107" s="23" t="n">
        <v>1</v>
      </c>
      <c r="I107" s="24" t="n">
        <f aca="false">ROUND($H107/30,2)</f>
        <v>0.03</v>
      </c>
      <c r="J107" s="25" t="n">
        <f aca="false">IF($Z107="CENSURADO",ROUND($T107/MAX($V107,3),2),ROUND($T107/$G$3,2))</f>
        <v>0.03</v>
      </c>
      <c r="K107" s="24" t="n">
        <f aca="false">ROUNDUP($J107*$C$3*7,0)</f>
        <v>1</v>
      </c>
      <c r="L107" s="24" t="n">
        <f aca="false">MAX(0,$K107-$F107-$G107)</f>
        <v>0</v>
      </c>
      <c r="M107" s="23" t="n">
        <v>484</v>
      </c>
      <c r="N107" s="23" t="n">
        <v>322</v>
      </c>
      <c r="O107" s="24" t="n">
        <f aca="false">$M107+$N107</f>
        <v>806</v>
      </c>
      <c r="P107" s="25" t="n">
        <f aca="false">MIN($L107,$O107)</f>
        <v>0</v>
      </c>
      <c r="Q107" s="23" t="s">
        <v>99</v>
      </c>
      <c r="R107" s="23" t="n">
        <v>1</v>
      </c>
      <c r="S107" s="23" t="s">
        <v>100</v>
      </c>
      <c r="T107" s="23" t="n">
        <v>1</v>
      </c>
      <c r="U107" s="23" t="n">
        <v>1</v>
      </c>
      <c r="V107" s="23" t="n">
        <v>1</v>
      </c>
      <c r="W107" s="23" t="n">
        <v>27</v>
      </c>
      <c r="X107" s="23" t="n">
        <v>22</v>
      </c>
      <c r="Y107" s="24" t="n">
        <f aca="false">IF($X107=0,"",ROUND($H107/$X107,2))</f>
        <v>0.05</v>
      </c>
      <c r="Z107" s="24" t="str">
        <f aca="false">IF(AND($F107=0,$T107&gt;=5,$W107&gt;=3),"CENSURADO",IF(AND($Y107&lt;&gt;"",$Y107&gt;=3,$T107&gt;=10),"CENSURADO",IF($T107=0,"SIN DATO","CONFIABLE")))</f>
        <v>CONFIABLE</v>
      </c>
      <c r="AA107" s="24" t="n">
        <f aca="false">IF($I107=0,"",ROUND($J107/MAX($I107,0.01),2))</f>
        <v>1</v>
      </c>
      <c r="AB107" s="24" t="n">
        <f aca="false">IF($J107&lt;=0,"",ROUND(($F107+$G107)/$J107,0))</f>
        <v>933</v>
      </c>
      <c r="AC107" s="26" t="n">
        <f aca="false">IF($AB107="","",$J$3+$AB107)</f>
        <v>47178</v>
      </c>
      <c r="AD107" s="23" t="n">
        <v>0</v>
      </c>
      <c r="AE107" s="23" t="n">
        <v>0</v>
      </c>
      <c r="AF107" s="23" t="n">
        <v>0</v>
      </c>
      <c r="AG107" s="24" t="str">
        <f aca="false">IF($AF107=0,"",MAX(0,180-$AE107))</f>
        <v/>
      </c>
      <c r="AH107" s="27" t="n">
        <v>0</v>
      </c>
      <c r="AI107" s="28" t="str">
        <f aca="false">IF($AF107=0,"",$AF107*$Q$3-$AF107*$N$3)</f>
        <v/>
      </c>
      <c r="AJ107" s="23" t="n">
        <v>1.9</v>
      </c>
      <c r="AK107" s="28" t="n">
        <f aca="false">ROUND($F107*$AJ107,0)</f>
        <v>44</v>
      </c>
      <c r="AL107" s="25" t="str">
        <f aca="false">IF(AND($F107=0,$T107&gt;0,$O107=0),"QUIEBRE Y SIN STOCK PARA ENVIAR",IF(AND($F107=0,$T107&gt;0),"QUIEBRE",IF($F107=0,"SIN STOCK SIN DEMANDA",IF(AND($AF107&gt;0,$AG107&lt;&gt;"",OR($AB107="",$AB107&gt;$AG107)),"STOCK VIEJO EN RIESGO",IF(AND($T107=0,$H107=0),"SIN ROTACION",IF($AB107="","-",IF($AB107&lt;14,"REPONER",IF($AB107&gt;84,"SOBRE-STOCK","EN RANGO"))))))))</f>
        <v>SOBRE-STOCK</v>
      </c>
    </row>
    <row r="108" customFormat="false" ht="15" hidden="false" customHeight="false" outlineLevel="0" collapsed="false">
      <c r="A108" s="4" t="s">
        <v>94</v>
      </c>
      <c r="B108" s="23" t="s">
        <v>503</v>
      </c>
      <c r="C108" s="23" t="s">
        <v>504</v>
      </c>
      <c r="D108" s="23" t="s">
        <v>505</v>
      </c>
      <c r="E108" s="23" t="s">
        <v>506</v>
      </c>
      <c r="F108" s="23" t="n">
        <v>2</v>
      </c>
      <c r="G108" s="23" t="n">
        <v>0</v>
      </c>
      <c r="H108" s="23" t="n">
        <v>1</v>
      </c>
      <c r="I108" s="24" t="n">
        <f aca="false">ROUND($H108/30,2)</f>
        <v>0.03</v>
      </c>
      <c r="J108" s="25" t="n">
        <f aca="false">IF($Z108="CENSURADO",ROUND($T108/MAX($V108,3),2),ROUND($T108/$G$3,2))</f>
        <v>0.03</v>
      </c>
      <c r="K108" s="24" t="n">
        <f aca="false">ROUNDUP($J108*$C$3*7,0)</f>
        <v>1</v>
      </c>
      <c r="L108" s="24" t="n">
        <f aca="false">MAX(0,$K108-$F108-$G108)</f>
        <v>0</v>
      </c>
      <c r="M108" s="23" t="n">
        <v>247</v>
      </c>
      <c r="N108" s="23" t="n">
        <v>197</v>
      </c>
      <c r="O108" s="24" t="n">
        <f aca="false">$M108+$N108</f>
        <v>444</v>
      </c>
      <c r="P108" s="25" t="n">
        <f aca="false">MIN($L108,$O108)</f>
        <v>0</v>
      </c>
      <c r="Q108" s="23" t="s">
        <v>99</v>
      </c>
      <c r="R108" s="23" t="n">
        <v>1</v>
      </c>
      <c r="S108" s="23" t="s">
        <v>133</v>
      </c>
      <c r="T108" s="23" t="n">
        <v>1</v>
      </c>
      <c r="U108" s="23" t="n">
        <v>1</v>
      </c>
      <c r="V108" s="23" t="n">
        <v>1</v>
      </c>
      <c r="W108" s="23" t="n">
        <v>12</v>
      </c>
      <c r="X108" s="23" t="n">
        <v>3</v>
      </c>
      <c r="Y108" s="24" t="n">
        <f aca="false">IF($X108=0,"",ROUND($H108/$X108,2))</f>
        <v>0.33</v>
      </c>
      <c r="Z108" s="24" t="str">
        <f aca="false">IF(AND($F108=0,$T108&gt;=5,$W108&gt;=3),"CENSURADO",IF(AND($Y108&lt;&gt;"",$Y108&gt;=3,$T108&gt;=10),"CENSURADO",IF($T108=0,"SIN DATO","CONFIABLE")))</f>
        <v>CONFIABLE</v>
      </c>
      <c r="AA108" s="24" t="n">
        <f aca="false">IF($I108=0,"",ROUND($J108/MAX($I108,0.01),2))</f>
        <v>1</v>
      </c>
      <c r="AB108" s="24" t="n">
        <f aca="false">IF($J108&lt;=0,"",ROUND(($F108+$G108)/$J108,0))</f>
        <v>67</v>
      </c>
      <c r="AC108" s="26" t="n">
        <f aca="false">IF($AB108="","",$J$3+$AB108)</f>
        <v>46312</v>
      </c>
      <c r="AD108" s="23" t="n">
        <v>0</v>
      </c>
      <c r="AE108" s="23" t="n">
        <v>130</v>
      </c>
      <c r="AF108" s="23" t="n">
        <v>4</v>
      </c>
      <c r="AG108" s="24" t="n">
        <f aca="false">IF($AF108=0,"",MAX(0,180-$AE108))</f>
        <v>50</v>
      </c>
      <c r="AH108" s="27" t="n">
        <v>1400</v>
      </c>
      <c r="AI108" s="28" t="n">
        <f aca="false">IF($AF108=0,"",$AF108*$Q$3-$AF108*$N$3)</f>
        <v>16060</v>
      </c>
      <c r="AJ108" s="23" t="n">
        <v>11.28</v>
      </c>
      <c r="AK108" s="28" t="n">
        <f aca="false">ROUND($F108*$AJ108,0)</f>
        <v>23</v>
      </c>
      <c r="AL108" s="25" t="str">
        <f aca="false">IF(AND($F108=0,$T108&gt;0,$O108=0),"QUIEBRE Y SIN STOCK PARA ENVIAR",IF(AND($F108=0,$T108&gt;0),"QUIEBRE",IF($F108=0,"SIN STOCK SIN DEMANDA",IF(AND($AF108&gt;0,$AG108&lt;&gt;"",OR($AB108="",$AB108&gt;$AG108)),"STOCK VIEJO EN RIESGO",IF(AND($T108=0,$H108=0),"SIN ROTACION",IF($AB108="","-",IF($AB108&lt;14,"REPONER",IF($AB108&gt;84,"SOBRE-STOCK","EN RANGO"))))))))</f>
        <v>STOCK VIEJO EN RIESGO</v>
      </c>
    </row>
    <row r="109" customFormat="false" ht="15" hidden="false" customHeight="false" outlineLevel="0" collapsed="false">
      <c r="A109" s="4" t="s">
        <v>94</v>
      </c>
      <c r="B109" s="23" t="s">
        <v>507</v>
      </c>
      <c r="C109" s="23" t="s">
        <v>508</v>
      </c>
      <c r="D109" s="23" t="s">
        <v>509</v>
      </c>
      <c r="E109" s="23" t="s">
        <v>510</v>
      </c>
      <c r="F109" s="23" t="n">
        <v>10</v>
      </c>
      <c r="G109" s="23" t="n">
        <v>5</v>
      </c>
      <c r="H109" s="23" t="n">
        <v>0</v>
      </c>
      <c r="I109" s="24" t="n">
        <f aca="false">ROUND($H109/30,2)</f>
        <v>0</v>
      </c>
      <c r="J109" s="25" t="n">
        <f aca="false">IF($Z109="CENSURADO",ROUND($T109/MAX($V109,3),2),ROUND($T109/$G$3,2))</f>
        <v>0.03</v>
      </c>
      <c r="K109" s="24" t="n">
        <f aca="false">ROUNDUP($J109*$C$3*7,0)</f>
        <v>1</v>
      </c>
      <c r="L109" s="24" t="n">
        <f aca="false">MAX(0,$K109-$F109-$G109)</f>
        <v>0</v>
      </c>
      <c r="M109" s="23" t="n">
        <v>395</v>
      </c>
      <c r="N109" s="23" t="n">
        <v>90</v>
      </c>
      <c r="O109" s="24" t="n">
        <f aca="false">$M109+$N109</f>
        <v>485</v>
      </c>
      <c r="P109" s="25" t="n">
        <f aca="false">MIN($L109,$O109)</f>
        <v>0</v>
      </c>
      <c r="Q109" s="23" t="s">
        <v>99</v>
      </c>
      <c r="R109" s="23" t="n">
        <v>1</v>
      </c>
      <c r="S109" s="23" t="s">
        <v>100</v>
      </c>
      <c r="T109" s="23" t="n">
        <v>1</v>
      </c>
      <c r="U109" s="23" t="n">
        <v>1</v>
      </c>
      <c r="V109" s="23" t="n">
        <v>1</v>
      </c>
      <c r="W109" s="23" t="n">
        <v>27</v>
      </c>
      <c r="X109" s="23" t="n">
        <v>9</v>
      </c>
      <c r="Y109" s="24" t="n">
        <f aca="false">IF($X109=0,"",ROUND($H109/$X109,2))</f>
        <v>0</v>
      </c>
      <c r="Z109" s="24" t="str">
        <f aca="false">IF(AND($F109=0,$T109&gt;=5,$W109&gt;=3),"CENSURADO",IF(AND($Y109&lt;&gt;"",$Y109&gt;=3,$T109&gt;=10),"CENSURADO",IF($T109=0,"SIN DATO","CONFIABLE")))</f>
        <v>CONFIABLE</v>
      </c>
      <c r="AA109" s="24" t="str">
        <f aca="false">IF($I109=0,"",ROUND($J109/MAX($I109,0.01),2))</f>
        <v/>
      </c>
      <c r="AB109" s="24" t="n">
        <f aca="false">IF($J109&lt;=0,"",ROUND(($F109+$G109)/$J109,0))</f>
        <v>500</v>
      </c>
      <c r="AC109" s="26" t="n">
        <f aca="false">IF($AB109="","",$J$3+$AB109)</f>
        <v>46745</v>
      </c>
      <c r="AD109" s="23" t="n">
        <v>0</v>
      </c>
      <c r="AE109" s="23" t="n">
        <v>0</v>
      </c>
      <c r="AF109" s="23" t="n">
        <v>0</v>
      </c>
      <c r="AG109" s="24" t="str">
        <f aca="false">IF($AF109=0,"",MAX(0,180-$AE109))</f>
        <v/>
      </c>
      <c r="AH109" s="27" t="n">
        <v>0</v>
      </c>
      <c r="AI109" s="28" t="str">
        <f aca="false">IF($AF109=0,"",$AF109*$Q$3-$AF109*$N$3)</f>
        <v/>
      </c>
      <c r="AJ109" s="23" t="n">
        <v>0</v>
      </c>
      <c r="AK109" s="28" t="n">
        <f aca="false">ROUND($F109*$AJ109,0)</f>
        <v>0</v>
      </c>
      <c r="AL109" s="25" t="str">
        <f aca="false">IF(AND($F109=0,$T109&gt;0,$O109=0),"QUIEBRE Y SIN STOCK PARA ENVIAR",IF(AND($F109=0,$T109&gt;0),"QUIEBRE",IF($F109=0,"SIN STOCK SIN DEMANDA",IF(AND($AF109&gt;0,$AG109&lt;&gt;"",OR($AB109="",$AB109&gt;$AG109)),"STOCK VIEJO EN RIESGO",IF(AND($T109=0,$H109=0),"SIN ROTACION",IF($AB109="","-",IF($AB109&lt;14,"REPONER",IF($AB109&gt;84,"SOBRE-STOCK","EN RANGO"))))))))</f>
        <v>SOBRE-STOCK</v>
      </c>
    </row>
    <row r="110" customFormat="false" ht="15" hidden="false" customHeight="false" outlineLevel="0" collapsed="false">
      <c r="A110" s="4" t="s">
        <v>94</v>
      </c>
      <c r="B110" s="23" t="s">
        <v>511</v>
      </c>
      <c r="C110" s="23" t="s">
        <v>512</v>
      </c>
      <c r="D110" s="23" t="s">
        <v>513</v>
      </c>
      <c r="E110" s="23" t="s">
        <v>514</v>
      </c>
      <c r="F110" s="23" t="n">
        <v>0</v>
      </c>
      <c r="G110" s="23" t="n">
        <v>30</v>
      </c>
      <c r="H110" s="23" t="n">
        <v>0</v>
      </c>
      <c r="I110" s="24" t="n">
        <f aca="false">ROUND($H110/30,2)</f>
        <v>0</v>
      </c>
      <c r="J110" s="25" t="n">
        <f aca="false">IF($Z110="CENSURADO",ROUND($T110/MAX($V110,3),2),ROUND($T110/$G$3,2))</f>
        <v>0.03</v>
      </c>
      <c r="K110" s="24" t="n">
        <f aca="false">ROUNDUP($J110*$C$3*7,0)</f>
        <v>1</v>
      </c>
      <c r="L110" s="24" t="n">
        <f aca="false">MAX(0,$K110-$F110-$G110)</f>
        <v>0</v>
      </c>
      <c r="M110" s="23" t="n">
        <v>319</v>
      </c>
      <c r="N110" s="23" t="n">
        <v>4</v>
      </c>
      <c r="O110" s="24" t="n">
        <f aca="false">$M110+$N110</f>
        <v>323</v>
      </c>
      <c r="P110" s="25" t="n">
        <f aca="false">MIN($L110,$O110)</f>
        <v>0</v>
      </c>
      <c r="Q110" s="23" t="s">
        <v>99</v>
      </c>
      <c r="R110" s="23" t="n">
        <v>1</v>
      </c>
      <c r="S110" s="23" t="s">
        <v>392</v>
      </c>
      <c r="T110" s="23" t="n">
        <v>1</v>
      </c>
      <c r="U110" s="23" t="n">
        <v>1</v>
      </c>
      <c r="V110" s="23" t="n">
        <v>1</v>
      </c>
      <c r="W110" s="23" t="n">
        <v>15</v>
      </c>
      <c r="X110" s="23" t="n">
        <v>0</v>
      </c>
      <c r="Y110" s="24" t="str">
        <f aca="false">IF($X110=0,"",ROUND($H110/$X110,2))</f>
        <v/>
      </c>
      <c r="Z110" s="24" t="str">
        <f aca="false">IF(AND($F110=0,$T110&gt;=5,$W110&gt;=3),"CENSURADO",IF(AND($Y110&lt;&gt;"",$Y110&gt;=3,$T110&gt;=10),"CENSURADO",IF($T110=0,"SIN DATO","CONFIABLE")))</f>
        <v>CONFIABLE</v>
      </c>
      <c r="AA110" s="24" t="str">
        <f aca="false">IF($I110=0,"",ROUND($J110/MAX($I110,0.01),2))</f>
        <v/>
      </c>
      <c r="AB110" s="24" t="n">
        <f aca="false">IF($J110&lt;=0,"",ROUND(($F110+$G110)/$J110,0))</f>
        <v>1000</v>
      </c>
      <c r="AC110" s="26" t="n">
        <f aca="false">IF($AB110="","",$J$3+$AB110)</f>
        <v>47245</v>
      </c>
      <c r="AD110" s="23" t="n">
        <v>0</v>
      </c>
      <c r="AE110" s="23" t="n">
        <v>0</v>
      </c>
      <c r="AF110" s="23" t="n">
        <v>0</v>
      </c>
      <c r="AG110" s="24" t="str">
        <f aca="false">IF($AF110=0,"",MAX(0,180-$AE110))</f>
        <v/>
      </c>
      <c r="AH110" s="27" t="n">
        <v>0</v>
      </c>
      <c r="AI110" s="28" t="str">
        <f aca="false">IF($AF110=0,"",$AF110*$Q$3-$AF110*$N$3)</f>
        <v/>
      </c>
      <c r="AJ110" s="23" t="n">
        <v>13.31</v>
      </c>
      <c r="AK110" s="28" t="n">
        <f aca="false">ROUND($F110*$AJ110,0)</f>
        <v>0</v>
      </c>
      <c r="AL110" s="25" t="str">
        <f aca="false">IF(AND($F110=0,$T110&gt;0,$O110=0),"QUIEBRE Y SIN STOCK PARA ENVIAR",IF(AND($F110=0,$T110&gt;0),"QUIEBRE",IF($F110=0,"SIN STOCK SIN DEMANDA",IF(AND($AF110&gt;0,$AG110&lt;&gt;"",OR($AB110="",$AB110&gt;$AG110)),"STOCK VIEJO EN RIESGO",IF(AND($T110=0,$H110=0),"SIN ROTACION",IF($AB110="","-",IF($AB110&lt;14,"REPONER",IF($AB110&gt;84,"SOBRE-STOCK","EN RANGO"))))))))</f>
        <v>QUIEBRE</v>
      </c>
    </row>
    <row r="111" customFormat="false" ht="15" hidden="false" customHeight="false" outlineLevel="0" collapsed="false">
      <c r="A111" s="4" t="s">
        <v>94</v>
      </c>
      <c r="B111" s="23" t="s">
        <v>515</v>
      </c>
      <c r="C111" s="23" t="s">
        <v>516</v>
      </c>
      <c r="D111" s="23" t="s">
        <v>517</v>
      </c>
      <c r="E111" s="23" t="s">
        <v>518</v>
      </c>
      <c r="F111" s="23" t="n">
        <v>0</v>
      </c>
      <c r="G111" s="23" t="n">
        <v>30</v>
      </c>
      <c r="H111" s="23" t="n">
        <v>0</v>
      </c>
      <c r="I111" s="24" t="n">
        <f aca="false">ROUND($H111/30,2)</f>
        <v>0</v>
      </c>
      <c r="J111" s="25" t="n">
        <f aca="false">IF($Z111="CENSURADO",ROUND($T111/MAX($V111,3),2),ROUND($T111/$G$3,2))</f>
        <v>0</v>
      </c>
      <c r="K111" s="24" t="n">
        <f aca="false">ROUNDUP($J111*$C$3*7,0)</f>
        <v>0</v>
      </c>
      <c r="L111" s="24" t="n">
        <f aca="false">MAX(0,$K111-$F111-$G111)</f>
        <v>0</v>
      </c>
      <c r="M111" s="23" t="n">
        <v>1707</v>
      </c>
      <c r="N111" s="23" t="n">
        <v>112</v>
      </c>
      <c r="O111" s="24" t="n">
        <f aca="false">$M111+$N111</f>
        <v>1819</v>
      </c>
      <c r="P111" s="25" t="n">
        <f aca="false">MIN($L111,$O111)</f>
        <v>0</v>
      </c>
      <c r="Q111" s="23" t="s">
        <v>99</v>
      </c>
      <c r="R111" s="23" t="n">
        <v>1</v>
      </c>
      <c r="S111" s="23" t="s">
        <v>519</v>
      </c>
      <c r="T111" s="23" t="n">
        <v>0</v>
      </c>
      <c r="U111" s="23" t="n">
        <v>0</v>
      </c>
      <c r="V111" s="23" t="n">
        <v>0</v>
      </c>
      <c r="W111" s="23" t="n">
        <v>0</v>
      </c>
      <c r="X111" s="23" t="n">
        <v>0</v>
      </c>
      <c r="Y111" s="24" t="str">
        <f aca="false">IF($X111=0,"",ROUND($H111/$X111,2))</f>
        <v/>
      </c>
      <c r="Z111" s="24" t="str">
        <f aca="false">IF(AND($F111=0,$T111&gt;=5,$W111&gt;=3),"CENSURADO",IF(AND($Y111&lt;&gt;"",$Y111&gt;=3,$T111&gt;=10),"CENSURADO",IF($T111=0,"SIN DATO","CONFIABLE")))</f>
        <v>SIN DATO</v>
      </c>
      <c r="AA111" s="24" t="str">
        <f aca="false">IF($I111=0,"",ROUND($J111/MAX($I111,0.01),2))</f>
        <v/>
      </c>
      <c r="AB111" s="24" t="str">
        <f aca="false">IF($J111&lt;=0,"",ROUND(($F111+$G111)/$J111,0))</f>
        <v/>
      </c>
      <c r="AC111" s="26" t="str">
        <f aca="false">IF($AB111="","",$J$3+$AB111)</f>
        <v/>
      </c>
      <c r="AD111" s="23" t="n">
        <v>0</v>
      </c>
      <c r="AE111" s="23" t="n">
        <v>0</v>
      </c>
      <c r="AF111" s="23" t="n">
        <v>0</v>
      </c>
      <c r="AG111" s="24" t="str">
        <f aca="false">IF($AF111=0,"",MAX(0,180-$AE111))</f>
        <v/>
      </c>
      <c r="AH111" s="27" t="n">
        <v>0</v>
      </c>
      <c r="AI111" s="28" t="str">
        <f aca="false">IF($AF111=0,"",$AF111*$Q$3-$AF111*$N$3)</f>
        <v/>
      </c>
      <c r="AJ111" s="23" t="n">
        <v>6.03</v>
      </c>
      <c r="AK111" s="28" t="n">
        <f aca="false">ROUND($F111*$AJ111,0)</f>
        <v>0</v>
      </c>
      <c r="AL111" s="25" t="str">
        <f aca="false">IF(AND($F111=0,$T111&gt;0,$O111=0),"QUIEBRE Y SIN STOCK PARA ENVIAR",IF(AND($F111=0,$T111&gt;0),"QUIEBRE",IF($F111=0,"SIN STOCK SIN DEMANDA",IF(AND($AF111&gt;0,$AG111&lt;&gt;"",OR($AB111="",$AB111&gt;$AG111)),"STOCK VIEJO EN RIESGO",IF(AND($T111=0,$H111=0),"SIN ROTACION",IF($AB111="","-",IF($AB111&lt;14,"REPONER",IF($AB111&gt;84,"SOBRE-STOCK","EN RANGO"))))))))</f>
        <v>SIN STOCK SIN DEMANDA</v>
      </c>
    </row>
    <row r="112" customFormat="false" ht="15" hidden="false" customHeight="false" outlineLevel="0" collapsed="false">
      <c r="A112" s="4" t="s">
        <v>94</v>
      </c>
      <c r="B112" s="23" t="s">
        <v>520</v>
      </c>
      <c r="C112" s="23" t="s">
        <v>521</v>
      </c>
      <c r="D112" s="23" t="s">
        <v>522</v>
      </c>
      <c r="E112" s="23" t="s">
        <v>523</v>
      </c>
      <c r="F112" s="23" t="n">
        <v>20</v>
      </c>
      <c r="G112" s="23" t="n">
        <v>0</v>
      </c>
      <c r="H112" s="23" t="n">
        <v>0</v>
      </c>
      <c r="I112" s="24" t="n">
        <f aca="false">ROUND($H112/30,2)</f>
        <v>0</v>
      </c>
      <c r="J112" s="25" t="n">
        <f aca="false">IF($Z112="CENSURADO",ROUND($T112/MAX($V112,3),2),ROUND($T112/$G$3,2))</f>
        <v>0</v>
      </c>
      <c r="K112" s="24" t="n">
        <f aca="false">ROUNDUP($J112*$C$3*7,0)</f>
        <v>0</v>
      </c>
      <c r="L112" s="24" t="n">
        <f aca="false">MAX(0,$K112-$F112-$G112)</f>
        <v>0</v>
      </c>
      <c r="M112" s="23" t="n">
        <v>1272</v>
      </c>
      <c r="N112" s="23" t="n">
        <v>713</v>
      </c>
      <c r="O112" s="24" t="n">
        <f aca="false">$M112+$N112</f>
        <v>1985</v>
      </c>
      <c r="P112" s="25" t="n">
        <f aca="false">MIN($L112,$O112)</f>
        <v>0</v>
      </c>
      <c r="Q112" s="23" t="s">
        <v>99</v>
      </c>
      <c r="R112" s="23" t="n">
        <v>1</v>
      </c>
      <c r="S112" s="23" t="s">
        <v>133</v>
      </c>
      <c r="T112" s="23" t="n">
        <v>0</v>
      </c>
      <c r="U112" s="23" t="n">
        <v>0</v>
      </c>
      <c r="V112" s="23" t="n">
        <v>0</v>
      </c>
      <c r="W112" s="23" t="n">
        <v>0</v>
      </c>
      <c r="X112" s="23" t="n">
        <v>20</v>
      </c>
      <c r="Y112" s="24" t="n">
        <f aca="false">IF($X112=0,"",ROUND($H112/$X112,2))</f>
        <v>0</v>
      </c>
      <c r="Z112" s="24" t="str">
        <f aca="false">IF(AND($F112=0,$T112&gt;=5,$W112&gt;=3),"CENSURADO",IF(AND($Y112&lt;&gt;"",$Y112&gt;=3,$T112&gt;=10),"CENSURADO",IF($T112=0,"SIN DATO","CONFIABLE")))</f>
        <v>SIN DATO</v>
      </c>
      <c r="AA112" s="24" t="str">
        <f aca="false">IF($I112=0,"",ROUND($J112/MAX($I112,0.01),2))</f>
        <v/>
      </c>
      <c r="AB112" s="24" t="str">
        <f aca="false">IF($J112&lt;=0,"",ROUND(($F112+$G112)/$J112,0))</f>
        <v/>
      </c>
      <c r="AC112" s="26" t="str">
        <f aca="false">IF($AB112="","",$J$3+$AB112)</f>
        <v/>
      </c>
      <c r="AD112" s="23" t="n">
        <v>0</v>
      </c>
      <c r="AE112" s="23" t="n">
        <v>0</v>
      </c>
      <c r="AF112" s="23" t="n">
        <v>0</v>
      </c>
      <c r="AG112" s="24" t="str">
        <f aca="false">IF($AF112=0,"",MAX(0,180-$AE112))</f>
        <v/>
      </c>
      <c r="AH112" s="27" t="n">
        <v>0</v>
      </c>
      <c r="AI112" s="28" t="str">
        <f aca="false">IF($AF112=0,"",$AF112*$Q$3-$AF112*$N$3)</f>
        <v/>
      </c>
      <c r="AJ112" s="23" t="n">
        <v>3.19</v>
      </c>
      <c r="AK112" s="28" t="n">
        <f aca="false">ROUND($F112*$AJ112,0)</f>
        <v>64</v>
      </c>
      <c r="AL112" s="25" t="str">
        <f aca="false">IF(AND($F112=0,$T112&gt;0,$O112=0),"QUIEBRE Y SIN STOCK PARA ENVIAR",IF(AND($F112=0,$T112&gt;0),"QUIEBRE",IF($F112=0,"SIN STOCK SIN DEMANDA",IF(AND($AF112&gt;0,$AG112&lt;&gt;"",OR($AB112="",$AB112&gt;$AG112)),"STOCK VIEJO EN RIESGO",IF(AND($T112=0,$H112=0),"SIN ROTACION",IF($AB112="","-",IF($AB112&lt;14,"REPONER",IF($AB112&gt;84,"SOBRE-STOCK","EN RANGO"))))))))</f>
        <v>SIN ROTACION</v>
      </c>
    </row>
    <row r="113" customFormat="false" ht="15" hidden="false" customHeight="false" outlineLevel="0" collapsed="false">
      <c r="A113" s="4" t="s">
        <v>94</v>
      </c>
      <c r="B113" s="23" t="s">
        <v>524</v>
      </c>
      <c r="C113" s="23" t="s">
        <v>525</v>
      </c>
      <c r="D113" s="23" t="s">
        <v>526</v>
      </c>
      <c r="E113" s="23" t="s">
        <v>527</v>
      </c>
      <c r="F113" s="23" t="n">
        <v>0</v>
      </c>
      <c r="G113" s="23" t="n">
        <v>30</v>
      </c>
      <c r="H113" s="23" t="n">
        <v>0</v>
      </c>
      <c r="I113" s="24" t="n">
        <f aca="false">ROUND($H113/30,2)</f>
        <v>0</v>
      </c>
      <c r="J113" s="25" t="n">
        <f aca="false">IF($Z113="CENSURADO",ROUND($T113/MAX($V113,3),2),ROUND($T113/$G$3,2))</f>
        <v>0</v>
      </c>
      <c r="K113" s="24" t="n">
        <f aca="false">ROUNDUP($J113*$C$3*7,0)</f>
        <v>0</v>
      </c>
      <c r="L113" s="24" t="n">
        <f aca="false">MAX(0,$K113-$F113-$G113)</f>
        <v>0</v>
      </c>
      <c r="M113" s="23" t="n">
        <v>504</v>
      </c>
      <c r="N113" s="23" t="n">
        <v>420</v>
      </c>
      <c r="O113" s="24" t="n">
        <f aca="false">$M113+$N113</f>
        <v>924</v>
      </c>
      <c r="P113" s="25" t="n">
        <f aca="false">MIN($L113,$O113)</f>
        <v>0</v>
      </c>
      <c r="Q113" s="23" t="s">
        <v>99</v>
      </c>
      <c r="R113" s="23" t="n">
        <v>1</v>
      </c>
      <c r="S113" s="23" t="s">
        <v>392</v>
      </c>
      <c r="T113" s="23" t="n">
        <v>0</v>
      </c>
      <c r="U113" s="23" t="n">
        <v>0</v>
      </c>
      <c r="V113" s="23" t="n">
        <v>0</v>
      </c>
      <c r="W113" s="23" t="n">
        <v>0</v>
      </c>
      <c r="X113" s="23" t="n">
        <v>0</v>
      </c>
      <c r="Y113" s="24" t="str">
        <f aca="false">IF($X113=0,"",ROUND($H113/$X113,2))</f>
        <v/>
      </c>
      <c r="Z113" s="24" t="str">
        <f aca="false">IF(AND($F113=0,$T113&gt;=5,$W113&gt;=3),"CENSURADO",IF(AND($Y113&lt;&gt;"",$Y113&gt;=3,$T113&gt;=10),"CENSURADO",IF($T113=0,"SIN DATO","CONFIABLE")))</f>
        <v>SIN DATO</v>
      </c>
      <c r="AA113" s="24" t="str">
        <f aca="false">IF($I113=0,"",ROUND($J113/MAX($I113,0.01),2))</f>
        <v/>
      </c>
      <c r="AB113" s="24" t="str">
        <f aca="false">IF($J113&lt;=0,"",ROUND(($F113+$G113)/$J113,0))</f>
        <v/>
      </c>
      <c r="AC113" s="26" t="str">
        <f aca="false">IF($AB113="","",$J$3+$AB113)</f>
        <v/>
      </c>
      <c r="AD113" s="23" t="n">
        <v>0</v>
      </c>
      <c r="AE113" s="23" t="n">
        <v>0</v>
      </c>
      <c r="AF113" s="23" t="n">
        <v>0</v>
      </c>
      <c r="AG113" s="24" t="str">
        <f aca="false">IF($AF113=0,"",MAX(0,180-$AE113))</f>
        <v/>
      </c>
      <c r="AH113" s="27" t="n">
        <v>0</v>
      </c>
      <c r="AI113" s="28" t="str">
        <f aca="false">IF($AF113=0,"",$AF113*$Q$3-$AF113*$N$3)</f>
        <v/>
      </c>
      <c r="AJ113" s="23" t="n">
        <v>12.33</v>
      </c>
      <c r="AK113" s="28" t="n">
        <f aca="false">ROUND($F113*$AJ113,0)</f>
        <v>0</v>
      </c>
      <c r="AL113" s="25" t="str">
        <f aca="false">IF(AND($F113=0,$T113&gt;0,$O113=0),"QUIEBRE Y SIN STOCK PARA ENVIAR",IF(AND($F113=0,$T113&gt;0),"QUIEBRE",IF($F113=0,"SIN STOCK SIN DEMANDA",IF(AND($AF113&gt;0,$AG113&lt;&gt;"",OR($AB113="",$AB113&gt;$AG113)),"STOCK VIEJO EN RIESGO",IF(AND($T113=0,$H113=0),"SIN ROTACION",IF($AB113="","-",IF($AB113&lt;14,"REPONER",IF($AB113&gt;84,"SOBRE-STOCK","EN RANGO"))))))))</f>
        <v>SIN STOCK SIN DEMANDA</v>
      </c>
    </row>
    <row r="114" customFormat="false" ht="15" hidden="false" customHeight="false" outlineLevel="0" collapsed="false">
      <c r="A114" s="4" t="s">
        <v>94</v>
      </c>
      <c r="B114" s="23" t="s">
        <v>528</v>
      </c>
      <c r="C114" s="23" t="s">
        <v>529</v>
      </c>
      <c r="D114" s="23" t="s">
        <v>530</v>
      </c>
      <c r="E114" s="23" t="s">
        <v>531</v>
      </c>
      <c r="F114" s="23" t="n">
        <v>0</v>
      </c>
      <c r="G114" s="23" t="n">
        <v>0</v>
      </c>
      <c r="H114" s="23" t="n">
        <v>0</v>
      </c>
      <c r="I114" s="24" t="n">
        <f aca="false">ROUND($H114/30,2)</f>
        <v>0</v>
      </c>
      <c r="J114" s="25" t="n">
        <f aca="false">IF($Z114="CENSURADO",ROUND($T114/MAX($V114,3),2),ROUND($T114/$G$3,2))</f>
        <v>0</v>
      </c>
      <c r="K114" s="24" t="n">
        <f aca="false">ROUNDUP($J114*$C$3*7,0)</f>
        <v>0</v>
      </c>
      <c r="L114" s="24" t="n">
        <f aca="false">MAX(0,$K114-$F114-$G114)</f>
        <v>0</v>
      </c>
      <c r="M114" s="23" t="n">
        <v>189</v>
      </c>
      <c r="N114" s="23" t="n">
        <v>307</v>
      </c>
      <c r="O114" s="24" t="n">
        <f aca="false">$M114+$N114</f>
        <v>496</v>
      </c>
      <c r="P114" s="25" t="n">
        <f aca="false">MIN($L114,$O114)</f>
        <v>0</v>
      </c>
      <c r="Q114" s="23" t="s">
        <v>99</v>
      </c>
      <c r="R114" s="23" t="n">
        <v>1</v>
      </c>
      <c r="S114" s="23" t="s">
        <v>100</v>
      </c>
      <c r="T114" s="23" t="n">
        <v>0</v>
      </c>
      <c r="U114" s="23" t="n">
        <v>0</v>
      </c>
      <c r="V114" s="23" t="n">
        <v>0</v>
      </c>
      <c r="W114" s="23" t="n">
        <v>0</v>
      </c>
      <c r="X114" s="23" t="n">
        <v>0</v>
      </c>
      <c r="Y114" s="24" t="str">
        <f aca="false">IF($X114=0,"",ROUND($H114/$X114,2))</f>
        <v/>
      </c>
      <c r="Z114" s="24" t="str">
        <f aca="false">IF(AND($F114=0,$T114&gt;=5,$W114&gt;=3),"CENSURADO",IF(AND($Y114&lt;&gt;"",$Y114&gt;=3,$T114&gt;=10),"CENSURADO",IF($T114=0,"SIN DATO","CONFIABLE")))</f>
        <v>SIN DATO</v>
      </c>
      <c r="AA114" s="24" t="str">
        <f aca="false">IF($I114=0,"",ROUND($J114/MAX($I114,0.01),2))</f>
        <v/>
      </c>
      <c r="AB114" s="24" t="str">
        <f aca="false">IF($J114&lt;=0,"",ROUND(($F114+$G114)/$J114,0))</f>
        <v/>
      </c>
      <c r="AC114" s="26" t="str">
        <f aca="false">IF($AB114="","",$J$3+$AB114)</f>
        <v/>
      </c>
      <c r="AD114" s="23" t="n">
        <v>0</v>
      </c>
      <c r="AE114" s="23" t="n">
        <v>0</v>
      </c>
      <c r="AF114" s="23" t="n">
        <v>0</v>
      </c>
      <c r="AG114" s="24" t="str">
        <f aca="false">IF($AF114=0,"",MAX(0,180-$AE114))</f>
        <v/>
      </c>
      <c r="AH114" s="27" t="n">
        <v>0</v>
      </c>
      <c r="AI114" s="28" t="str">
        <f aca="false">IF($AF114=0,"",$AF114*$Q$3-$AF114*$N$3)</f>
        <v/>
      </c>
      <c r="AJ114" s="23" t="n">
        <v>0</v>
      </c>
      <c r="AK114" s="28" t="n">
        <f aca="false">ROUND($F114*$AJ114,0)</f>
        <v>0</v>
      </c>
      <c r="AL114" s="25" t="str">
        <f aca="false">IF(AND($F114=0,$T114&gt;0,$O114=0),"QUIEBRE Y SIN STOCK PARA ENVIAR",IF(AND($F114=0,$T114&gt;0),"QUIEBRE",IF($F114=0,"SIN STOCK SIN DEMANDA",IF(AND($AF114&gt;0,$AG114&lt;&gt;"",OR($AB114="",$AB114&gt;$AG114)),"STOCK VIEJO EN RIESGO",IF(AND($T114=0,$H114=0),"SIN ROTACION",IF($AB114="","-",IF($AB114&lt;14,"REPONER",IF($AB114&gt;84,"SOBRE-STOCK","EN RANGO"))))))))</f>
        <v>SIN STOCK SIN DEMANDA</v>
      </c>
    </row>
    <row r="115" customFormat="false" ht="15" hidden="false" customHeight="false" outlineLevel="0" collapsed="false">
      <c r="A115" s="4" t="s">
        <v>94</v>
      </c>
      <c r="B115" s="23" t="s">
        <v>532</v>
      </c>
      <c r="C115" s="23" t="s">
        <v>533</v>
      </c>
      <c r="D115" s="23" t="s">
        <v>534</v>
      </c>
      <c r="E115" s="23" t="s">
        <v>535</v>
      </c>
      <c r="F115" s="23" t="n">
        <v>0</v>
      </c>
      <c r="G115" s="23" t="n">
        <v>0</v>
      </c>
      <c r="H115" s="23" t="n">
        <v>0</v>
      </c>
      <c r="I115" s="24" t="n">
        <f aca="false">ROUND($H115/30,2)</f>
        <v>0</v>
      </c>
      <c r="J115" s="25" t="n">
        <f aca="false">IF($Z115="CENSURADO",ROUND($T115/MAX($V115,3),2),ROUND($T115/$G$3,2))</f>
        <v>0</v>
      </c>
      <c r="K115" s="24" t="n">
        <f aca="false">ROUNDUP($J115*$C$3*7,0)</f>
        <v>0</v>
      </c>
      <c r="L115" s="24" t="n">
        <f aca="false">MAX(0,$K115-$F115-$G115)</f>
        <v>0</v>
      </c>
      <c r="M115" s="23" t="n">
        <v>441</v>
      </c>
      <c r="N115" s="23" t="n">
        <v>0</v>
      </c>
      <c r="O115" s="24" t="n">
        <f aca="false">$M115+$N115</f>
        <v>441</v>
      </c>
      <c r="P115" s="25" t="n">
        <f aca="false">MIN($L115,$O115)</f>
        <v>0</v>
      </c>
      <c r="Q115" s="23"/>
      <c r="R115" s="23" t="n">
        <v>1</v>
      </c>
      <c r="S115" s="23" t="s">
        <v>211</v>
      </c>
      <c r="T115" s="23" t="n">
        <v>0</v>
      </c>
      <c r="U115" s="23" t="n">
        <v>0</v>
      </c>
      <c r="V115" s="23" t="n">
        <v>0</v>
      </c>
      <c r="W115" s="23" t="n">
        <v>0</v>
      </c>
      <c r="X115" s="23" t="n">
        <v>1</v>
      </c>
      <c r="Y115" s="24" t="n">
        <f aca="false">IF($X115=0,"",ROUND($H115/$X115,2))</f>
        <v>0</v>
      </c>
      <c r="Z115" s="24" t="str">
        <f aca="false">IF(AND($F115=0,$T115&gt;=5,$W115&gt;=3),"CENSURADO",IF(AND($Y115&lt;&gt;"",$Y115&gt;=3,$T115&gt;=10),"CENSURADO",IF($T115=0,"SIN DATO","CONFIABLE")))</f>
        <v>SIN DATO</v>
      </c>
      <c r="AA115" s="24" t="str">
        <f aca="false">IF($I115=0,"",ROUND($J115/MAX($I115,0.01),2))</f>
        <v/>
      </c>
      <c r="AB115" s="24" t="str">
        <f aca="false">IF($J115&lt;=0,"",ROUND(($F115+$G115)/$J115,0))</f>
        <v/>
      </c>
      <c r="AC115" s="26" t="str">
        <f aca="false">IF($AB115="","",$J$3+$AB115)</f>
        <v/>
      </c>
      <c r="AD115" s="23" t="n">
        <v>0</v>
      </c>
      <c r="AE115" s="23" t="n">
        <v>127</v>
      </c>
      <c r="AF115" s="23" t="n">
        <v>5</v>
      </c>
      <c r="AG115" s="24" t="n">
        <f aca="false">IF($AF115=0,"",MAX(0,180-$AE115))</f>
        <v>53</v>
      </c>
      <c r="AH115" s="27" t="n">
        <v>6775</v>
      </c>
      <c r="AI115" s="28" t="n">
        <f aca="false">IF($AF115=0,"",$AF115*$Q$3-$AF115*$N$3)</f>
        <v>20075</v>
      </c>
      <c r="AJ115" s="23" t="n">
        <v>18.68</v>
      </c>
      <c r="AK115" s="28" t="n">
        <f aca="false">ROUND($F115*$AJ115,0)</f>
        <v>0</v>
      </c>
      <c r="AL115" s="25" t="str">
        <f aca="false">IF(AND($F115=0,$T115&gt;0,$O115=0),"QUIEBRE Y SIN STOCK PARA ENVIAR",IF(AND($F115=0,$T115&gt;0),"QUIEBRE",IF($F115=0,"SIN STOCK SIN DEMANDA",IF(AND($AF115&gt;0,$AG115&lt;&gt;"",OR($AB115="",$AB115&gt;$AG115)),"STOCK VIEJO EN RIESGO",IF(AND($T115=0,$H115=0),"SIN ROTACION",IF($AB115="","-",IF($AB115&lt;14,"REPONER",IF($AB115&gt;84,"SOBRE-STOCK","EN RANGO"))))))))</f>
        <v>SIN STOCK SIN DEMANDA</v>
      </c>
    </row>
    <row r="116" customFormat="false" ht="15" hidden="false" customHeight="false" outlineLevel="0" collapsed="false">
      <c r="A116" s="4" t="s">
        <v>94</v>
      </c>
      <c r="B116" s="23" t="s">
        <v>536</v>
      </c>
      <c r="C116" s="23" t="s">
        <v>537</v>
      </c>
      <c r="D116" s="23" t="s">
        <v>538</v>
      </c>
      <c r="E116" s="23" t="s">
        <v>539</v>
      </c>
      <c r="F116" s="23" t="n">
        <v>0</v>
      </c>
      <c r="G116" s="23" t="n">
        <v>0</v>
      </c>
      <c r="H116" s="23" t="n">
        <v>0</v>
      </c>
      <c r="I116" s="24" t="n">
        <f aca="false">ROUND($H116/30,2)</f>
        <v>0</v>
      </c>
      <c r="J116" s="25" t="n">
        <f aca="false">IF($Z116="CENSURADO",ROUND($T116/MAX($V116,3),2),ROUND($T116/$G$3,2))</f>
        <v>0</v>
      </c>
      <c r="K116" s="24" t="n">
        <f aca="false">ROUNDUP($J116*$C$3*7,0)</f>
        <v>0</v>
      </c>
      <c r="L116" s="24" t="n">
        <f aca="false">MAX(0,$K116-$F116-$G116)</f>
        <v>0</v>
      </c>
      <c r="M116" s="23" t="n">
        <v>228</v>
      </c>
      <c r="N116" s="23" t="n">
        <v>225</v>
      </c>
      <c r="O116" s="24" t="n">
        <f aca="false">$M116+$N116</f>
        <v>453</v>
      </c>
      <c r="P116" s="25" t="n">
        <f aca="false">MIN($L116,$O116)</f>
        <v>0</v>
      </c>
      <c r="Q116" s="23" t="s">
        <v>99</v>
      </c>
      <c r="R116" s="23" t="n">
        <v>1</v>
      </c>
      <c r="S116" s="23" t="s">
        <v>133</v>
      </c>
      <c r="T116" s="23" t="n">
        <v>0</v>
      </c>
      <c r="U116" s="23" t="n">
        <v>0</v>
      </c>
      <c r="V116" s="23" t="n">
        <v>0</v>
      </c>
      <c r="W116" s="23" t="n">
        <v>0</v>
      </c>
      <c r="X116" s="23" t="n">
        <v>5</v>
      </c>
      <c r="Y116" s="24" t="n">
        <f aca="false">IF($X116=0,"",ROUND($H116/$X116,2))</f>
        <v>0</v>
      </c>
      <c r="Z116" s="24" t="str">
        <f aca="false">IF(AND($F116=0,$T116&gt;=5,$W116&gt;=3),"CENSURADO",IF(AND($Y116&lt;&gt;"",$Y116&gt;=3,$T116&gt;=10),"CENSURADO",IF($T116=0,"SIN DATO","CONFIABLE")))</f>
        <v>SIN DATO</v>
      </c>
      <c r="AA116" s="24" t="str">
        <f aca="false">IF($I116=0,"",ROUND($J116/MAX($I116,0.01),2))</f>
        <v/>
      </c>
      <c r="AB116" s="24" t="str">
        <f aca="false">IF($J116&lt;=0,"",ROUND(($F116+$G116)/$J116,0))</f>
        <v/>
      </c>
      <c r="AC116" s="26" t="str">
        <f aca="false">IF($AB116="","",$J$3+$AB116)</f>
        <v/>
      </c>
      <c r="AD116" s="23" t="n">
        <v>0</v>
      </c>
      <c r="AE116" s="23" t="n">
        <v>130</v>
      </c>
      <c r="AF116" s="23" t="n">
        <v>5</v>
      </c>
      <c r="AG116" s="24" t="n">
        <f aca="false">IF($AF116=0,"",MAX(0,180-$AE116))</f>
        <v>50</v>
      </c>
      <c r="AH116" s="27" t="n">
        <v>1750</v>
      </c>
      <c r="AI116" s="28" t="n">
        <f aca="false">IF($AF116=0,"",$AF116*$Q$3-$AF116*$N$3)</f>
        <v>20075</v>
      </c>
      <c r="AJ116" s="23" t="n">
        <v>8.74</v>
      </c>
      <c r="AK116" s="28" t="n">
        <f aca="false">ROUND($F116*$AJ116,0)</f>
        <v>0</v>
      </c>
      <c r="AL116" s="25" t="str">
        <f aca="false">IF(AND($F116=0,$T116&gt;0,$O116=0),"QUIEBRE Y SIN STOCK PARA ENVIAR",IF(AND($F116=0,$T116&gt;0),"QUIEBRE",IF($F116=0,"SIN STOCK SIN DEMANDA",IF(AND($AF116&gt;0,$AG116&lt;&gt;"",OR($AB116="",$AB116&gt;$AG116)),"STOCK VIEJO EN RIESGO",IF(AND($T116=0,$H116=0),"SIN ROTACION",IF($AB116="","-",IF($AB116&lt;14,"REPONER",IF($AB116&gt;84,"SOBRE-STOCK","EN RANGO"))))))))</f>
        <v>SIN STOCK SIN DEMANDA</v>
      </c>
    </row>
    <row r="117" customFormat="false" ht="15" hidden="false" customHeight="false" outlineLevel="0" collapsed="false">
      <c r="A117" s="4" t="s">
        <v>94</v>
      </c>
      <c r="B117" s="23" t="s">
        <v>540</v>
      </c>
      <c r="C117" s="23" t="s">
        <v>541</v>
      </c>
      <c r="D117" s="23" t="s">
        <v>542</v>
      </c>
      <c r="E117" s="23" t="s">
        <v>543</v>
      </c>
      <c r="F117" s="23" t="n">
        <v>20</v>
      </c>
      <c r="G117" s="23" t="n">
        <v>0</v>
      </c>
      <c r="H117" s="23" t="n">
        <v>0</v>
      </c>
      <c r="I117" s="24" t="n">
        <f aca="false">ROUND($H117/30,2)</f>
        <v>0</v>
      </c>
      <c r="J117" s="25" t="n">
        <f aca="false">IF($Z117="CENSURADO",ROUND($T117/MAX($V117,3),2),ROUND($T117/$G$3,2))</f>
        <v>0</v>
      </c>
      <c r="K117" s="24" t="n">
        <f aca="false">ROUNDUP($J117*$C$3*7,0)</f>
        <v>0</v>
      </c>
      <c r="L117" s="24" t="n">
        <f aca="false">MAX(0,$K117-$F117-$G117)</f>
        <v>0</v>
      </c>
      <c r="M117" s="23" t="n">
        <v>118</v>
      </c>
      <c r="N117" s="23" t="n">
        <v>105</v>
      </c>
      <c r="O117" s="24" t="n">
        <f aca="false">$M117+$N117</f>
        <v>223</v>
      </c>
      <c r="P117" s="25" t="n">
        <f aca="false">MIN($L117,$O117)</f>
        <v>0</v>
      </c>
      <c r="Q117" s="23" t="s">
        <v>99</v>
      </c>
      <c r="R117" s="23" t="n">
        <v>1</v>
      </c>
      <c r="S117" s="23" t="s">
        <v>100</v>
      </c>
      <c r="T117" s="23" t="n">
        <v>0</v>
      </c>
      <c r="U117" s="23" t="n">
        <v>0</v>
      </c>
      <c r="V117" s="23" t="n">
        <v>0</v>
      </c>
      <c r="W117" s="23" t="n">
        <v>0</v>
      </c>
      <c r="X117" s="23" t="n">
        <v>20</v>
      </c>
      <c r="Y117" s="24" t="n">
        <f aca="false">IF($X117=0,"",ROUND($H117/$X117,2))</f>
        <v>0</v>
      </c>
      <c r="Z117" s="24" t="str">
        <f aca="false">IF(AND($F117=0,$T117&gt;=5,$W117&gt;=3),"CENSURADO",IF(AND($Y117&lt;&gt;"",$Y117&gt;=3,$T117&gt;=10),"CENSURADO",IF($T117=0,"SIN DATO","CONFIABLE")))</f>
        <v>SIN DATO</v>
      </c>
      <c r="AA117" s="24" t="str">
        <f aca="false">IF($I117=0,"",ROUND($J117/MAX($I117,0.01),2))</f>
        <v/>
      </c>
      <c r="AB117" s="24" t="str">
        <f aca="false">IF($J117&lt;=0,"",ROUND(($F117+$G117)/$J117,0))</f>
        <v/>
      </c>
      <c r="AC117" s="26" t="str">
        <f aca="false">IF($AB117="","",$J$3+$AB117)</f>
        <v/>
      </c>
      <c r="AD117" s="23" t="n">
        <v>0</v>
      </c>
      <c r="AE117" s="23" t="n">
        <v>0</v>
      </c>
      <c r="AF117" s="23" t="n">
        <v>0</v>
      </c>
      <c r="AG117" s="24" t="str">
        <f aca="false">IF($AF117=0,"",MAX(0,180-$AE117))</f>
        <v/>
      </c>
      <c r="AH117" s="27" t="n">
        <v>0</v>
      </c>
      <c r="AI117" s="28" t="str">
        <f aca="false">IF($AF117=0,"",$AF117*$Q$3-$AF117*$N$3)</f>
        <v/>
      </c>
      <c r="AJ117" s="23" t="n">
        <v>0</v>
      </c>
      <c r="AK117" s="28" t="n">
        <f aca="false">ROUND($F117*$AJ117,0)</f>
        <v>0</v>
      </c>
      <c r="AL117" s="25" t="str">
        <f aca="false">IF(AND($F117=0,$T117&gt;0,$O117=0),"QUIEBRE Y SIN STOCK PARA ENVIAR",IF(AND($F117=0,$T117&gt;0),"QUIEBRE",IF($F117=0,"SIN STOCK SIN DEMANDA",IF(AND($AF117&gt;0,$AG117&lt;&gt;"",OR($AB117="",$AB117&gt;$AG117)),"STOCK VIEJO EN RIESGO",IF(AND($T117=0,$H117=0),"SIN ROTACION",IF($AB117="","-",IF($AB117&lt;14,"REPONER",IF($AB117&gt;84,"SOBRE-STOCK","EN RANGO"))))))))</f>
        <v>SIN ROTACION</v>
      </c>
    </row>
    <row r="118" customFormat="false" ht="15" hidden="false" customHeight="false" outlineLevel="0" collapsed="false">
      <c r="A118" s="4" t="s">
        <v>94</v>
      </c>
      <c r="B118" s="23" t="s">
        <v>544</v>
      </c>
      <c r="C118" s="23" t="s">
        <v>545</v>
      </c>
      <c r="D118" s="23" t="s">
        <v>546</v>
      </c>
      <c r="E118" s="23" t="s">
        <v>547</v>
      </c>
      <c r="F118" s="23" t="n">
        <v>6</v>
      </c>
      <c r="G118" s="23" t="n">
        <v>0</v>
      </c>
      <c r="H118" s="23" t="n">
        <v>0</v>
      </c>
      <c r="I118" s="24" t="n">
        <f aca="false">ROUND($H118/30,2)</f>
        <v>0</v>
      </c>
      <c r="J118" s="25" t="n">
        <f aca="false">IF($Z118="CENSURADO",ROUND($T118/MAX($V118,3),2),ROUND($T118/$G$3,2))</f>
        <v>0</v>
      </c>
      <c r="K118" s="24" t="n">
        <f aca="false">ROUNDUP($J118*$C$3*7,0)</f>
        <v>0</v>
      </c>
      <c r="L118" s="24" t="n">
        <f aca="false">MAX(0,$K118-$F118-$G118)</f>
        <v>0</v>
      </c>
      <c r="M118" s="23" t="n">
        <v>840</v>
      </c>
      <c r="N118" s="23" t="n">
        <v>352</v>
      </c>
      <c r="O118" s="24" t="n">
        <f aca="false">$M118+$N118</f>
        <v>1192</v>
      </c>
      <c r="P118" s="25" t="n">
        <f aca="false">MIN($L118,$O118)</f>
        <v>0</v>
      </c>
      <c r="Q118" s="23" t="s">
        <v>99</v>
      </c>
      <c r="R118" s="23" t="n">
        <v>2</v>
      </c>
      <c r="S118" s="23" t="s">
        <v>211</v>
      </c>
      <c r="T118" s="23" t="n">
        <v>0</v>
      </c>
      <c r="U118" s="23" t="n">
        <v>0</v>
      </c>
      <c r="V118" s="23" t="n">
        <v>0</v>
      </c>
      <c r="W118" s="23" t="n">
        <v>0</v>
      </c>
      <c r="X118" s="23" t="n">
        <v>6</v>
      </c>
      <c r="Y118" s="24" t="n">
        <f aca="false">IF($X118=0,"",ROUND($H118/$X118,2))</f>
        <v>0</v>
      </c>
      <c r="Z118" s="24" t="str">
        <f aca="false">IF(AND($F118=0,$T118&gt;=5,$W118&gt;=3),"CENSURADO",IF(AND($Y118&lt;&gt;"",$Y118&gt;=3,$T118&gt;=10),"CENSURADO",IF($T118=0,"SIN DATO","CONFIABLE")))</f>
        <v>SIN DATO</v>
      </c>
      <c r="AA118" s="24" t="str">
        <f aca="false">IF($I118=0,"",ROUND($J118/MAX($I118,0.01),2))</f>
        <v/>
      </c>
      <c r="AB118" s="24" t="str">
        <f aca="false">IF($J118&lt;=0,"",ROUND(($F118+$G118)/$J118,0))</f>
        <v/>
      </c>
      <c r="AC118" s="26" t="str">
        <f aca="false">IF($AB118="","",$J$3+$AB118)</f>
        <v/>
      </c>
      <c r="AD118" s="23" t="n">
        <v>0</v>
      </c>
      <c r="AE118" s="23" t="n">
        <v>0</v>
      </c>
      <c r="AF118" s="23" t="n">
        <v>0</v>
      </c>
      <c r="AG118" s="24" t="str">
        <f aca="false">IF($AF118=0,"",MAX(0,180-$AE118))</f>
        <v/>
      </c>
      <c r="AH118" s="27" t="n">
        <v>0</v>
      </c>
      <c r="AI118" s="28" t="str">
        <f aca="false">IF($AF118=0,"",$AF118*$Q$3-$AF118*$N$3)</f>
        <v/>
      </c>
      <c r="AJ118" s="23" t="n">
        <v>63.3</v>
      </c>
      <c r="AK118" s="28" t="n">
        <f aca="false">ROUND($F118*$AJ118,0)</f>
        <v>380</v>
      </c>
      <c r="AL118" s="25" t="str">
        <f aca="false">IF(AND($F118=0,$T118&gt;0,$O118=0),"QUIEBRE Y SIN STOCK PARA ENVIAR",IF(AND($F118=0,$T118&gt;0),"QUIEBRE",IF($F118=0,"SIN STOCK SIN DEMANDA",IF(AND($AF118&gt;0,$AG118&lt;&gt;"",OR($AB118="",$AB118&gt;$AG118)),"STOCK VIEJO EN RIESGO",IF(AND($T118=0,$H118=0),"SIN ROTACION",IF($AB118="","-",IF($AB118&lt;14,"REPONER",IF($AB118&gt;84,"SOBRE-STOCK","EN RANGO"))))))))</f>
        <v>SIN ROTACION</v>
      </c>
    </row>
    <row r="119" customFormat="false" ht="15" hidden="false" customHeight="false" outlineLevel="0" collapsed="false">
      <c r="A119" s="4" t="s">
        <v>94</v>
      </c>
      <c r="B119" s="23" t="s">
        <v>548</v>
      </c>
      <c r="C119" s="23" t="s">
        <v>549</v>
      </c>
      <c r="D119" s="23" t="s">
        <v>550</v>
      </c>
      <c r="E119" s="23" t="s">
        <v>551</v>
      </c>
      <c r="F119" s="23" t="n">
        <v>0</v>
      </c>
      <c r="G119" s="23" t="n">
        <v>0</v>
      </c>
      <c r="H119" s="23" t="n">
        <v>0</v>
      </c>
      <c r="I119" s="24" t="n">
        <f aca="false">ROUND($H119/30,2)</f>
        <v>0</v>
      </c>
      <c r="J119" s="25" t="n">
        <f aca="false">IF($Z119="CENSURADO",ROUND($T119/MAX($V119,3),2),ROUND($T119/$G$3,2))</f>
        <v>0</v>
      </c>
      <c r="K119" s="24" t="n">
        <f aca="false">ROUNDUP($J119*$C$3*7,0)</f>
        <v>0</v>
      </c>
      <c r="L119" s="24" t="n">
        <f aca="false">MAX(0,$K119-$F119-$G119)</f>
        <v>0</v>
      </c>
      <c r="M119" s="23" t="n">
        <v>932</v>
      </c>
      <c r="N119" s="23" t="n">
        <v>318</v>
      </c>
      <c r="O119" s="24" t="n">
        <f aca="false">$M119+$N119</f>
        <v>1250</v>
      </c>
      <c r="P119" s="25" t="n">
        <f aca="false">MIN($L119,$O119)</f>
        <v>0</v>
      </c>
      <c r="Q119" s="23" t="s">
        <v>99</v>
      </c>
      <c r="R119" s="23" t="n">
        <v>1</v>
      </c>
      <c r="S119" s="23" t="s">
        <v>100</v>
      </c>
      <c r="T119" s="23" t="n">
        <v>0</v>
      </c>
      <c r="U119" s="23" t="n">
        <v>0</v>
      </c>
      <c r="V119" s="23" t="n">
        <v>0</v>
      </c>
      <c r="W119" s="23" t="n">
        <v>0</v>
      </c>
      <c r="X119" s="23" t="n">
        <v>0</v>
      </c>
      <c r="Y119" s="24" t="str">
        <f aca="false">IF($X119=0,"",ROUND($H119/$X119,2))</f>
        <v/>
      </c>
      <c r="Z119" s="24" t="str">
        <f aca="false">IF(AND($F119=0,$T119&gt;=5,$W119&gt;=3),"CENSURADO",IF(AND($Y119&lt;&gt;"",$Y119&gt;=3,$T119&gt;=10),"CENSURADO",IF($T119=0,"SIN DATO","CONFIABLE")))</f>
        <v>SIN DATO</v>
      </c>
      <c r="AA119" s="24" t="str">
        <f aca="false">IF($I119=0,"",ROUND($J119/MAX($I119,0.01),2))</f>
        <v/>
      </c>
      <c r="AB119" s="24" t="str">
        <f aca="false">IF($J119&lt;=0,"",ROUND(($F119+$G119)/$J119,0))</f>
        <v/>
      </c>
      <c r="AC119" s="26" t="str">
        <f aca="false">IF($AB119="","",$J$3+$AB119)</f>
        <v/>
      </c>
      <c r="AD119" s="23" t="n">
        <v>0</v>
      </c>
      <c r="AE119" s="23" t="n">
        <v>0</v>
      </c>
      <c r="AF119" s="23" t="n">
        <v>0</v>
      </c>
      <c r="AG119" s="24" t="str">
        <f aca="false">IF($AF119=0,"",MAX(0,180-$AE119))</f>
        <v/>
      </c>
      <c r="AH119" s="27" t="n">
        <v>0</v>
      </c>
      <c r="AI119" s="28" t="str">
        <f aca="false">IF($AF119=0,"",$AF119*$Q$3-$AF119*$N$3)</f>
        <v/>
      </c>
      <c r="AJ119" s="23" t="n">
        <v>5.83</v>
      </c>
      <c r="AK119" s="28" t="n">
        <f aca="false">ROUND($F119*$AJ119,0)</f>
        <v>0</v>
      </c>
      <c r="AL119" s="25" t="str">
        <f aca="false">IF(AND($F119=0,$T119&gt;0,$O119=0),"QUIEBRE Y SIN STOCK PARA ENVIAR",IF(AND($F119=0,$T119&gt;0),"QUIEBRE",IF($F119=0,"SIN STOCK SIN DEMANDA",IF(AND($AF119&gt;0,$AG119&lt;&gt;"",OR($AB119="",$AB119&gt;$AG119)),"STOCK VIEJO EN RIESGO",IF(AND($T119=0,$H119=0),"SIN ROTACION",IF($AB119="","-",IF($AB119&lt;14,"REPONER",IF($AB119&gt;84,"SOBRE-STOCK","EN RANGO"))))))))</f>
        <v>SIN STOCK SIN DEMANDA</v>
      </c>
    </row>
    <row r="120" customFormat="false" ht="15" hidden="false" customHeight="false" outlineLevel="0" collapsed="false">
      <c r="A120" s="4" t="s">
        <v>94</v>
      </c>
      <c r="B120" s="23" t="s">
        <v>552</v>
      </c>
      <c r="C120" s="23" t="s">
        <v>553</v>
      </c>
      <c r="D120" s="23" t="s">
        <v>554</v>
      </c>
      <c r="E120" s="23" t="s">
        <v>555</v>
      </c>
      <c r="F120" s="23" t="n">
        <v>0</v>
      </c>
      <c r="G120" s="23" t="n">
        <v>30</v>
      </c>
      <c r="H120" s="23" t="n">
        <v>0</v>
      </c>
      <c r="I120" s="24" t="n">
        <f aca="false">ROUND($H120/30,2)</f>
        <v>0</v>
      </c>
      <c r="J120" s="25" t="n">
        <f aca="false">IF($Z120="CENSURADO",ROUND($T120/MAX($V120,3),2),ROUND($T120/$G$3,2))</f>
        <v>0</v>
      </c>
      <c r="K120" s="24" t="n">
        <f aca="false">ROUNDUP($J120*$C$3*7,0)</f>
        <v>0</v>
      </c>
      <c r="L120" s="24" t="n">
        <f aca="false">MAX(0,$K120-$F120-$G120)</f>
        <v>0</v>
      </c>
      <c r="M120" s="23" t="n">
        <v>791</v>
      </c>
      <c r="N120" s="23" t="n">
        <v>32</v>
      </c>
      <c r="O120" s="24" t="n">
        <f aca="false">$M120+$N120</f>
        <v>823</v>
      </c>
      <c r="P120" s="25" t="n">
        <f aca="false">MIN($L120,$O120)</f>
        <v>0</v>
      </c>
      <c r="Q120" s="23" t="s">
        <v>99</v>
      </c>
      <c r="R120" s="23" t="n">
        <v>1</v>
      </c>
      <c r="S120" s="23" t="s">
        <v>392</v>
      </c>
      <c r="T120" s="23" t="n">
        <v>0</v>
      </c>
      <c r="U120" s="23" t="n">
        <v>0</v>
      </c>
      <c r="V120" s="23" t="n">
        <v>0</v>
      </c>
      <c r="W120" s="23" t="n">
        <v>0</v>
      </c>
      <c r="X120" s="23" t="n">
        <v>0</v>
      </c>
      <c r="Y120" s="24" t="str">
        <f aca="false">IF($X120=0,"",ROUND($H120/$X120,2))</f>
        <v/>
      </c>
      <c r="Z120" s="24" t="str">
        <f aca="false">IF(AND($F120=0,$T120&gt;=5,$W120&gt;=3),"CENSURADO",IF(AND($Y120&lt;&gt;"",$Y120&gt;=3,$T120&gt;=10),"CENSURADO",IF($T120=0,"SIN DATO","CONFIABLE")))</f>
        <v>SIN DATO</v>
      </c>
      <c r="AA120" s="24" t="str">
        <f aca="false">IF($I120=0,"",ROUND($J120/MAX($I120,0.01),2))</f>
        <v/>
      </c>
      <c r="AB120" s="24" t="str">
        <f aca="false">IF($J120&lt;=0,"",ROUND(($F120+$G120)/$J120,0))</f>
        <v/>
      </c>
      <c r="AC120" s="26" t="str">
        <f aca="false">IF($AB120="","",$J$3+$AB120)</f>
        <v/>
      </c>
      <c r="AD120" s="23" t="n">
        <v>0</v>
      </c>
      <c r="AE120" s="23" t="n">
        <v>0</v>
      </c>
      <c r="AF120" s="23" t="n">
        <v>0</v>
      </c>
      <c r="AG120" s="24" t="str">
        <f aca="false">IF($AF120=0,"",MAX(0,180-$AE120))</f>
        <v/>
      </c>
      <c r="AH120" s="27" t="n">
        <v>0</v>
      </c>
      <c r="AI120" s="28" t="str">
        <f aca="false">IF($AF120=0,"",$AF120*$Q$3-$AF120*$N$3)</f>
        <v/>
      </c>
      <c r="AJ120" s="23" t="n">
        <v>7.89</v>
      </c>
      <c r="AK120" s="28" t="n">
        <f aca="false">ROUND($F120*$AJ120,0)</f>
        <v>0</v>
      </c>
      <c r="AL120" s="25" t="str">
        <f aca="false">IF(AND($F120=0,$T120&gt;0,$O120=0),"QUIEBRE Y SIN STOCK PARA ENVIAR",IF(AND($F120=0,$T120&gt;0),"QUIEBRE",IF($F120=0,"SIN STOCK SIN DEMANDA",IF(AND($AF120&gt;0,$AG120&lt;&gt;"",OR($AB120="",$AB120&gt;$AG120)),"STOCK VIEJO EN RIESGO",IF(AND($T120=0,$H120=0),"SIN ROTACION",IF($AB120="","-",IF($AB120&lt;14,"REPONER",IF($AB120&gt;84,"SOBRE-STOCK","EN RANGO"))))))))</f>
        <v>SIN STOCK SIN DEMANDA</v>
      </c>
    </row>
    <row r="121" customFormat="false" ht="15" hidden="false" customHeight="false" outlineLevel="0" collapsed="false">
      <c r="A121" s="4" t="s">
        <v>94</v>
      </c>
      <c r="B121" s="23" t="s">
        <v>556</v>
      </c>
      <c r="C121" s="23" t="s">
        <v>557</v>
      </c>
      <c r="D121" s="23" t="s">
        <v>558</v>
      </c>
      <c r="E121" s="23" t="s">
        <v>559</v>
      </c>
      <c r="F121" s="23" t="n">
        <v>1</v>
      </c>
      <c r="G121" s="23" t="n">
        <v>0</v>
      </c>
      <c r="H121" s="23" t="n">
        <v>0</v>
      </c>
      <c r="I121" s="24" t="n">
        <f aca="false">ROUND($H121/30,2)</f>
        <v>0</v>
      </c>
      <c r="J121" s="25" t="n">
        <f aca="false">IF($Z121="CENSURADO",ROUND($T121/MAX($V121,3),2),ROUND($T121/$G$3,2))</f>
        <v>0</v>
      </c>
      <c r="K121" s="24" t="n">
        <f aca="false">ROUNDUP($J121*$C$3*7,0)</f>
        <v>0</v>
      </c>
      <c r="L121" s="24" t="n">
        <f aca="false">MAX(0,$K121-$F121-$G121)</f>
        <v>0</v>
      </c>
      <c r="M121" s="23" t="n">
        <v>0</v>
      </c>
      <c r="N121" s="23" t="n">
        <v>0</v>
      </c>
      <c r="O121" s="24" t="n">
        <f aca="false">$M121+$N121</f>
        <v>0</v>
      </c>
      <c r="P121" s="25" t="n">
        <f aca="false">MIN($L121,$O121)</f>
        <v>0</v>
      </c>
      <c r="Q121" s="23"/>
      <c r="R121" s="23" t="n">
        <v>1</v>
      </c>
      <c r="S121" s="23" t="s">
        <v>133</v>
      </c>
      <c r="T121" s="23" t="n">
        <v>0</v>
      </c>
      <c r="U121" s="23" t="n">
        <v>0</v>
      </c>
      <c r="V121" s="23" t="n">
        <v>0</v>
      </c>
      <c r="W121" s="23" t="n">
        <v>0</v>
      </c>
      <c r="X121" s="23" t="n">
        <v>1</v>
      </c>
      <c r="Y121" s="24" t="n">
        <f aca="false">IF($X121=0,"",ROUND($H121/$X121,2))</f>
        <v>0</v>
      </c>
      <c r="Z121" s="24" t="str">
        <f aca="false">IF(AND($F121=0,$T121&gt;=5,$W121&gt;=3),"CENSURADO",IF(AND($Y121&lt;&gt;"",$Y121&gt;=3,$T121&gt;=10),"CENSURADO",IF($T121=0,"SIN DATO","CONFIABLE")))</f>
        <v>SIN DATO</v>
      </c>
      <c r="AA121" s="24" t="str">
        <f aca="false">IF($I121=0,"",ROUND($J121/MAX($I121,0.01),2))</f>
        <v/>
      </c>
      <c r="AB121" s="24" t="str">
        <f aca="false">IF($J121&lt;=0,"",ROUND(($F121+$G121)/$J121,0))</f>
        <v/>
      </c>
      <c r="AC121" s="26" t="str">
        <f aca="false">IF($AB121="","",$J$3+$AB121)</f>
        <v/>
      </c>
      <c r="AD121" s="23" t="n">
        <v>0</v>
      </c>
      <c r="AE121" s="23" t="n">
        <v>0</v>
      </c>
      <c r="AF121" s="23" t="n">
        <v>0</v>
      </c>
      <c r="AG121" s="24" t="str">
        <f aca="false">IF($AF121=0,"",MAX(0,180-$AE121))</f>
        <v/>
      </c>
      <c r="AH121" s="27" t="n">
        <v>0</v>
      </c>
      <c r="AI121" s="28" t="str">
        <f aca="false">IF($AF121=0,"",$AF121*$Q$3-$AF121*$N$3)</f>
        <v/>
      </c>
      <c r="AJ121" s="23" t="n">
        <v>1.56</v>
      </c>
      <c r="AK121" s="28" t="n">
        <f aca="false">ROUND($F121*$AJ121,0)</f>
        <v>2</v>
      </c>
      <c r="AL121" s="25" t="str">
        <f aca="false">IF(AND($F121=0,$T121&gt;0,$O121=0),"QUIEBRE Y SIN STOCK PARA ENVIAR",IF(AND($F121=0,$T121&gt;0),"QUIEBRE",IF($F121=0,"SIN STOCK SIN DEMANDA",IF(AND($AF121&gt;0,$AG121&lt;&gt;"",OR($AB121="",$AB121&gt;$AG121)),"STOCK VIEJO EN RIESGO",IF(AND($T121=0,$H121=0),"SIN ROTACION",IF($AB121="","-",IF($AB121&lt;14,"REPONER",IF($AB121&gt;84,"SOBRE-STOCK","EN RANGO"))))))))</f>
        <v>SIN ROTACION</v>
      </c>
    </row>
    <row r="122" customFormat="false" ht="15" hidden="false" customHeight="false" outlineLevel="0" collapsed="false">
      <c r="A122" s="4" t="s">
        <v>94</v>
      </c>
      <c r="B122" s="23" t="s">
        <v>560</v>
      </c>
      <c r="C122" s="23" t="s">
        <v>561</v>
      </c>
      <c r="D122" s="23" t="s">
        <v>562</v>
      </c>
      <c r="E122" s="23" t="s">
        <v>563</v>
      </c>
      <c r="F122" s="23" t="n">
        <v>0</v>
      </c>
      <c r="G122" s="23" t="n">
        <v>10</v>
      </c>
      <c r="H122" s="23" t="n">
        <v>0</v>
      </c>
      <c r="I122" s="24" t="n">
        <f aca="false">ROUND($H122/30,2)</f>
        <v>0</v>
      </c>
      <c r="J122" s="25" t="n">
        <f aca="false">IF($Z122="CENSURADO",ROUND($T122/MAX($V122,3),2),ROUND($T122/$G$3,2))</f>
        <v>0</v>
      </c>
      <c r="K122" s="24" t="n">
        <f aca="false">ROUNDUP($J122*$C$3*7,0)</f>
        <v>0</v>
      </c>
      <c r="L122" s="24" t="n">
        <f aca="false">MAX(0,$K122-$F122-$G122)</f>
        <v>0</v>
      </c>
      <c r="M122" s="23" t="n">
        <v>215</v>
      </c>
      <c r="N122" s="23" t="n">
        <v>2</v>
      </c>
      <c r="O122" s="24" t="n">
        <f aca="false">$M122+$N122</f>
        <v>217</v>
      </c>
      <c r="P122" s="25" t="n">
        <f aca="false">MIN($L122,$O122)</f>
        <v>0</v>
      </c>
      <c r="Q122" s="23" t="s">
        <v>99</v>
      </c>
      <c r="R122" s="23" t="n">
        <v>1</v>
      </c>
      <c r="S122" s="23" t="s">
        <v>392</v>
      </c>
      <c r="T122" s="23" t="n">
        <v>0</v>
      </c>
      <c r="U122" s="23" t="n">
        <v>0</v>
      </c>
      <c r="V122" s="23" t="n">
        <v>0</v>
      </c>
      <c r="W122" s="23" t="n">
        <v>0</v>
      </c>
      <c r="X122" s="23" t="n">
        <v>0</v>
      </c>
      <c r="Y122" s="24" t="str">
        <f aca="false">IF($X122=0,"",ROUND($H122/$X122,2))</f>
        <v/>
      </c>
      <c r="Z122" s="24" t="str">
        <f aca="false">IF(AND($F122=0,$T122&gt;=5,$W122&gt;=3),"CENSURADO",IF(AND($Y122&lt;&gt;"",$Y122&gt;=3,$T122&gt;=10),"CENSURADO",IF($T122=0,"SIN DATO","CONFIABLE")))</f>
        <v>SIN DATO</v>
      </c>
      <c r="AA122" s="24" t="str">
        <f aca="false">IF($I122=0,"",ROUND($J122/MAX($I122,0.01),2))</f>
        <v/>
      </c>
      <c r="AB122" s="24" t="str">
        <f aca="false">IF($J122&lt;=0,"",ROUND(($F122+$G122)/$J122,0))</f>
        <v/>
      </c>
      <c r="AC122" s="26" t="str">
        <f aca="false">IF($AB122="","",$J$3+$AB122)</f>
        <v/>
      </c>
      <c r="AD122" s="23" t="n">
        <v>0</v>
      </c>
      <c r="AE122" s="23" t="n">
        <v>0</v>
      </c>
      <c r="AF122" s="23" t="n">
        <v>0</v>
      </c>
      <c r="AG122" s="24" t="str">
        <f aca="false">IF($AF122=0,"",MAX(0,180-$AE122))</f>
        <v/>
      </c>
      <c r="AH122" s="27" t="n">
        <v>0</v>
      </c>
      <c r="AI122" s="28" t="str">
        <f aca="false">IF($AF122=0,"",$AF122*$Q$3-$AF122*$N$3)</f>
        <v/>
      </c>
      <c r="AJ122" s="23" t="n">
        <v>30.43</v>
      </c>
      <c r="AK122" s="28" t="n">
        <f aca="false">ROUND($F122*$AJ122,0)</f>
        <v>0</v>
      </c>
      <c r="AL122" s="25" t="str">
        <f aca="false">IF(AND($F122=0,$T122&gt;0,$O122=0),"QUIEBRE Y SIN STOCK PARA ENVIAR",IF(AND($F122=0,$T122&gt;0),"QUIEBRE",IF($F122=0,"SIN STOCK SIN DEMANDA",IF(AND($AF122&gt;0,$AG122&lt;&gt;"",OR($AB122="",$AB122&gt;$AG122)),"STOCK VIEJO EN RIESGO",IF(AND($T122=0,$H122=0),"SIN ROTACION",IF($AB122="","-",IF($AB122&lt;14,"REPONER",IF($AB122&gt;84,"SOBRE-STOCK","EN RANGO"))))))))</f>
        <v>SIN STOCK SIN DEMANDA</v>
      </c>
    </row>
    <row r="123" customFormat="false" ht="15" hidden="false" customHeight="false" outlineLevel="0" collapsed="false">
      <c r="A123" s="4" t="s">
        <v>94</v>
      </c>
      <c r="B123" s="23" t="s">
        <v>564</v>
      </c>
      <c r="C123" s="23" t="s">
        <v>565</v>
      </c>
      <c r="D123" s="23" t="s">
        <v>566</v>
      </c>
      <c r="E123" s="23" t="s">
        <v>567</v>
      </c>
      <c r="F123" s="23" t="n">
        <v>31</v>
      </c>
      <c r="G123" s="23" t="n">
        <v>0</v>
      </c>
      <c r="H123" s="23" t="n">
        <v>0</v>
      </c>
      <c r="I123" s="24" t="n">
        <f aca="false">ROUND($H123/30,2)</f>
        <v>0</v>
      </c>
      <c r="J123" s="25" t="n">
        <f aca="false">IF($Z123="CENSURADO",ROUND($T123/MAX($V123,3),2),ROUND($T123/$G$3,2))</f>
        <v>0</v>
      </c>
      <c r="K123" s="24" t="n">
        <f aca="false">ROUNDUP($J123*$C$3*7,0)</f>
        <v>0</v>
      </c>
      <c r="L123" s="24" t="n">
        <f aca="false">MAX(0,$K123-$F123-$G123)</f>
        <v>0</v>
      </c>
      <c r="M123" s="23" t="n">
        <v>19</v>
      </c>
      <c r="N123" s="23" t="n">
        <v>0</v>
      </c>
      <c r="O123" s="24" t="n">
        <f aca="false">$M123+$N123</f>
        <v>19</v>
      </c>
      <c r="P123" s="25" t="n">
        <f aca="false">MIN($L123,$O123)</f>
        <v>0</v>
      </c>
      <c r="Q123" s="23" t="s">
        <v>99</v>
      </c>
      <c r="R123" s="23" t="n">
        <v>1</v>
      </c>
      <c r="S123" s="23" t="s">
        <v>100</v>
      </c>
      <c r="T123" s="23" t="n">
        <v>0</v>
      </c>
      <c r="U123" s="23" t="n">
        <v>0</v>
      </c>
      <c r="V123" s="23" t="n">
        <v>0</v>
      </c>
      <c r="W123" s="23" t="n">
        <v>0</v>
      </c>
      <c r="X123" s="23" t="n">
        <v>31</v>
      </c>
      <c r="Y123" s="24" t="n">
        <f aca="false">IF($X123=0,"",ROUND($H123/$X123,2))</f>
        <v>0</v>
      </c>
      <c r="Z123" s="24" t="str">
        <f aca="false">IF(AND($F123=0,$T123&gt;=5,$W123&gt;=3),"CENSURADO",IF(AND($Y123&lt;&gt;"",$Y123&gt;=3,$T123&gt;=10),"CENSURADO",IF($T123=0,"SIN DATO","CONFIABLE")))</f>
        <v>SIN DATO</v>
      </c>
      <c r="AA123" s="24" t="str">
        <f aca="false">IF($I123=0,"",ROUND($J123/MAX($I123,0.01),2))</f>
        <v/>
      </c>
      <c r="AB123" s="24" t="str">
        <f aca="false">IF($J123&lt;=0,"",ROUND(($F123+$G123)/$J123,0))</f>
        <v/>
      </c>
      <c r="AC123" s="26" t="str">
        <f aca="false">IF($AB123="","",$J$3+$AB123)</f>
        <v/>
      </c>
      <c r="AD123" s="23" t="n">
        <v>0</v>
      </c>
      <c r="AE123" s="23" t="n">
        <v>0</v>
      </c>
      <c r="AF123" s="23" t="n">
        <v>0</v>
      </c>
      <c r="AG123" s="24" t="str">
        <f aca="false">IF($AF123=0,"",MAX(0,180-$AE123))</f>
        <v/>
      </c>
      <c r="AH123" s="27" t="n">
        <v>0</v>
      </c>
      <c r="AI123" s="28" t="str">
        <f aca="false">IF($AF123=0,"",$AF123*$Q$3-$AF123*$N$3)</f>
        <v/>
      </c>
      <c r="AJ123" s="23" t="n">
        <v>28.32</v>
      </c>
      <c r="AK123" s="28" t="n">
        <f aca="false">ROUND($F123*$AJ123,0)</f>
        <v>878</v>
      </c>
      <c r="AL123" s="25" t="str">
        <f aca="false">IF(AND($F123=0,$T123&gt;0,$O123=0),"QUIEBRE Y SIN STOCK PARA ENVIAR",IF(AND($F123=0,$T123&gt;0),"QUIEBRE",IF($F123=0,"SIN STOCK SIN DEMANDA",IF(AND($AF123&gt;0,$AG123&lt;&gt;"",OR($AB123="",$AB123&gt;$AG123)),"STOCK VIEJO EN RIESGO",IF(AND($T123=0,$H123=0),"SIN ROTACION",IF($AB123="","-",IF($AB123&lt;14,"REPONER",IF($AB123&gt;84,"SOBRE-STOCK","EN RANGO"))))))))</f>
        <v>SIN ROTACION</v>
      </c>
    </row>
    <row r="124" customFormat="false" ht="15" hidden="false" customHeight="false" outlineLevel="0" collapsed="false">
      <c r="A124" s="4" t="s">
        <v>94</v>
      </c>
      <c r="B124" s="23" t="s">
        <v>568</v>
      </c>
      <c r="C124" s="23" t="s">
        <v>569</v>
      </c>
      <c r="D124" s="23" t="s">
        <v>570</v>
      </c>
      <c r="E124" s="23" t="s">
        <v>571</v>
      </c>
      <c r="F124" s="23" t="n">
        <v>5</v>
      </c>
      <c r="G124" s="23" t="n">
        <v>0</v>
      </c>
      <c r="H124" s="23" t="n">
        <v>0</v>
      </c>
      <c r="I124" s="24" t="n">
        <f aca="false">ROUND($H124/30,2)</f>
        <v>0</v>
      </c>
      <c r="J124" s="25" t="n">
        <f aca="false">IF($Z124="CENSURADO",ROUND($T124/MAX($V124,3),2),ROUND($T124/$G$3,2))</f>
        <v>0</v>
      </c>
      <c r="K124" s="24" t="n">
        <f aca="false">ROUNDUP($J124*$C$3*7,0)</f>
        <v>0</v>
      </c>
      <c r="L124" s="24" t="n">
        <f aca="false">MAX(0,$K124-$F124-$G124)</f>
        <v>0</v>
      </c>
      <c r="M124" s="23" t="n">
        <v>10</v>
      </c>
      <c r="N124" s="23" t="n">
        <v>0</v>
      </c>
      <c r="O124" s="24" t="n">
        <f aca="false">$M124+$N124</f>
        <v>10</v>
      </c>
      <c r="P124" s="25" t="n">
        <f aca="false">MIN($L124,$O124)</f>
        <v>0</v>
      </c>
      <c r="Q124" s="23" t="s">
        <v>99</v>
      </c>
      <c r="R124" s="23" t="n">
        <v>1</v>
      </c>
      <c r="S124" s="23" t="s">
        <v>211</v>
      </c>
      <c r="T124" s="23" t="n">
        <v>0</v>
      </c>
      <c r="U124" s="23" t="n">
        <v>0</v>
      </c>
      <c r="V124" s="23" t="n">
        <v>0</v>
      </c>
      <c r="W124" s="23" t="n">
        <v>0</v>
      </c>
      <c r="X124" s="23" t="n">
        <v>5</v>
      </c>
      <c r="Y124" s="24" t="n">
        <f aca="false">IF($X124=0,"",ROUND($H124/$X124,2))</f>
        <v>0</v>
      </c>
      <c r="Z124" s="24" t="str">
        <f aca="false">IF(AND($F124=0,$T124&gt;=5,$W124&gt;=3),"CENSURADO",IF(AND($Y124&lt;&gt;"",$Y124&gt;=3,$T124&gt;=10),"CENSURADO",IF($T124=0,"SIN DATO","CONFIABLE")))</f>
        <v>SIN DATO</v>
      </c>
      <c r="AA124" s="24" t="str">
        <f aca="false">IF($I124=0,"",ROUND($J124/MAX($I124,0.01),2))</f>
        <v/>
      </c>
      <c r="AB124" s="24" t="str">
        <f aca="false">IF($J124&lt;=0,"",ROUND(($F124+$G124)/$J124,0))</f>
        <v/>
      </c>
      <c r="AC124" s="26" t="str">
        <f aca="false">IF($AB124="","",$J$3+$AB124)</f>
        <v/>
      </c>
      <c r="AD124" s="23" t="n">
        <v>0</v>
      </c>
      <c r="AE124" s="23" t="n">
        <v>0</v>
      </c>
      <c r="AF124" s="23" t="n">
        <v>0</v>
      </c>
      <c r="AG124" s="24" t="str">
        <f aca="false">IF($AF124=0,"",MAX(0,180-$AE124))</f>
        <v/>
      </c>
      <c r="AH124" s="27" t="n">
        <v>0</v>
      </c>
      <c r="AI124" s="28" t="str">
        <f aca="false">IF($AF124=0,"",$AF124*$Q$3-$AF124*$N$3)</f>
        <v/>
      </c>
      <c r="AJ124" s="23" t="n">
        <v>27.85</v>
      </c>
      <c r="AK124" s="28" t="n">
        <f aca="false">ROUND($F124*$AJ124,0)</f>
        <v>139</v>
      </c>
      <c r="AL124" s="25" t="str">
        <f aca="false">IF(AND($F124=0,$T124&gt;0,$O124=0),"QUIEBRE Y SIN STOCK PARA ENVIAR",IF(AND($F124=0,$T124&gt;0),"QUIEBRE",IF($F124=0,"SIN STOCK SIN DEMANDA",IF(AND($AF124&gt;0,$AG124&lt;&gt;"",OR($AB124="",$AB124&gt;$AG124)),"STOCK VIEJO EN RIESGO",IF(AND($T124=0,$H124=0),"SIN ROTACION",IF($AB124="","-",IF($AB124&lt;14,"REPONER",IF($AB124&gt;84,"SOBRE-STOCK","EN RANGO"))))))))</f>
        <v>SIN ROTACION</v>
      </c>
    </row>
    <row r="125" customFormat="false" ht="15" hidden="false" customHeight="false" outlineLevel="0" collapsed="false">
      <c r="A125" s="4" t="s">
        <v>94</v>
      </c>
      <c r="B125" s="23" t="s">
        <v>572</v>
      </c>
      <c r="C125" s="23" t="s">
        <v>573</v>
      </c>
      <c r="D125" s="23" t="s">
        <v>574</v>
      </c>
      <c r="E125" s="23" t="s">
        <v>575</v>
      </c>
      <c r="F125" s="23" t="n">
        <v>5</v>
      </c>
      <c r="G125" s="23" t="n">
        <v>0</v>
      </c>
      <c r="H125" s="23" t="n">
        <v>0</v>
      </c>
      <c r="I125" s="24" t="n">
        <f aca="false">ROUND($H125/30,2)</f>
        <v>0</v>
      </c>
      <c r="J125" s="25" t="n">
        <f aca="false">IF($Z125="CENSURADO",ROUND($T125/MAX($V125,3),2),ROUND($T125/$G$3,2))</f>
        <v>0</v>
      </c>
      <c r="K125" s="24" t="n">
        <f aca="false">ROUNDUP($J125*$C$3*7,0)</f>
        <v>0</v>
      </c>
      <c r="L125" s="24" t="n">
        <f aca="false">MAX(0,$K125-$F125-$G125)</f>
        <v>0</v>
      </c>
      <c r="M125" s="23" t="n">
        <v>0</v>
      </c>
      <c r="N125" s="23" t="n">
        <v>11</v>
      </c>
      <c r="O125" s="24" t="n">
        <f aca="false">$M125+$N125</f>
        <v>11</v>
      </c>
      <c r="P125" s="25" t="n">
        <f aca="false">MIN($L125,$O125)</f>
        <v>0</v>
      </c>
      <c r="Q125" s="23" t="s">
        <v>99</v>
      </c>
      <c r="R125" s="23" t="n">
        <v>1</v>
      </c>
      <c r="S125" s="23" t="s">
        <v>100</v>
      </c>
      <c r="T125" s="23" t="n">
        <v>0</v>
      </c>
      <c r="U125" s="23" t="n">
        <v>0</v>
      </c>
      <c r="V125" s="23" t="n">
        <v>0</v>
      </c>
      <c r="W125" s="23" t="n">
        <v>0</v>
      </c>
      <c r="X125" s="23" t="n">
        <v>5</v>
      </c>
      <c r="Y125" s="24" t="n">
        <f aca="false">IF($X125=0,"",ROUND($H125/$X125,2))</f>
        <v>0</v>
      </c>
      <c r="Z125" s="24" t="str">
        <f aca="false">IF(AND($F125=0,$T125&gt;=5,$W125&gt;=3),"CENSURADO",IF(AND($Y125&lt;&gt;"",$Y125&gt;=3,$T125&gt;=10),"CENSURADO",IF($T125=0,"SIN DATO","CONFIABLE")))</f>
        <v>SIN DATO</v>
      </c>
      <c r="AA125" s="24" t="str">
        <f aca="false">IF($I125=0,"",ROUND($J125/MAX($I125,0.01),2))</f>
        <v/>
      </c>
      <c r="AB125" s="24" t="str">
        <f aca="false">IF($J125&lt;=0,"",ROUND(($F125+$G125)/$J125,0))</f>
        <v/>
      </c>
      <c r="AC125" s="26" t="str">
        <f aca="false">IF($AB125="","",$J$3+$AB125)</f>
        <v/>
      </c>
      <c r="AD125" s="23" t="n">
        <v>0</v>
      </c>
      <c r="AE125" s="23" t="n">
        <v>0</v>
      </c>
      <c r="AF125" s="23" t="n">
        <v>0</v>
      </c>
      <c r="AG125" s="24" t="str">
        <f aca="false">IF($AF125=0,"",MAX(0,180-$AE125))</f>
        <v/>
      </c>
      <c r="AH125" s="27" t="n">
        <v>0</v>
      </c>
      <c r="AI125" s="28" t="str">
        <f aca="false">IF($AF125=0,"",$AF125*$Q$3-$AF125*$N$3)</f>
        <v/>
      </c>
      <c r="AJ125" s="23" t="n">
        <v>15.02</v>
      </c>
      <c r="AK125" s="28" t="n">
        <f aca="false">ROUND($F125*$AJ125,0)</f>
        <v>75</v>
      </c>
      <c r="AL125" s="25" t="str">
        <f aca="false">IF(AND($F125=0,$T125&gt;0,$O125=0),"QUIEBRE Y SIN STOCK PARA ENVIAR",IF(AND($F125=0,$T125&gt;0),"QUIEBRE",IF($F125=0,"SIN STOCK SIN DEMANDA",IF(AND($AF125&gt;0,$AG125&lt;&gt;"",OR($AB125="",$AB125&gt;$AG125)),"STOCK VIEJO EN RIESGO",IF(AND($T125=0,$H125=0),"SIN ROTACION",IF($AB125="","-",IF($AB125&lt;14,"REPONER",IF($AB125&gt;84,"SOBRE-STOCK","EN RANGO"))))))))</f>
        <v>SIN ROTACION</v>
      </c>
    </row>
    <row r="126" customFormat="false" ht="15" hidden="false" customHeight="false" outlineLevel="0" collapsed="false">
      <c r="A126" s="4" t="s">
        <v>94</v>
      </c>
      <c r="B126" s="23" t="s">
        <v>576</v>
      </c>
      <c r="C126" s="23" t="s">
        <v>577</v>
      </c>
      <c r="D126" s="23" t="s">
        <v>578</v>
      </c>
      <c r="E126" s="23" t="s">
        <v>579</v>
      </c>
      <c r="F126" s="23" t="n">
        <v>0</v>
      </c>
      <c r="G126" s="23" t="n">
        <v>0</v>
      </c>
      <c r="H126" s="23" t="n">
        <v>0</v>
      </c>
      <c r="I126" s="24" t="n">
        <f aca="false">ROUND($H126/30,2)</f>
        <v>0</v>
      </c>
      <c r="J126" s="25" t="n">
        <f aca="false">IF($Z126="CENSURADO",ROUND($T126/MAX($V126,3),2),ROUND($T126/$G$3,2))</f>
        <v>0</v>
      </c>
      <c r="K126" s="24" t="n">
        <f aca="false">ROUNDUP($J126*$C$3*7,0)</f>
        <v>0</v>
      </c>
      <c r="L126" s="24" t="n">
        <f aca="false">MAX(0,$K126-$F126-$G126)</f>
        <v>0</v>
      </c>
      <c r="M126" s="23" t="n">
        <v>8</v>
      </c>
      <c r="N126" s="23" t="n">
        <v>0</v>
      </c>
      <c r="O126" s="24" t="n">
        <f aca="false">$M126+$N126</f>
        <v>8</v>
      </c>
      <c r="P126" s="25" t="n">
        <f aca="false">MIN($L126,$O126)</f>
        <v>0</v>
      </c>
      <c r="Q126" s="23" t="s">
        <v>194</v>
      </c>
      <c r="R126" s="23" t="n">
        <v>1</v>
      </c>
      <c r="S126" s="23" t="s">
        <v>100</v>
      </c>
      <c r="T126" s="23" t="n">
        <v>0</v>
      </c>
      <c r="U126" s="23" t="n">
        <v>0</v>
      </c>
      <c r="V126" s="23" t="n">
        <v>0</v>
      </c>
      <c r="W126" s="23" t="n">
        <v>0</v>
      </c>
      <c r="X126" s="23" t="n">
        <v>0</v>
      </c>
      <c r="Y126" s="24" t="str">
        <f aca="false">IF($X126=0,"",ROUND($H126/$X126,2))</f>
        <v/>
      </c>
      <c r="Z126" s="24" t="str">
        <f aca="false">IF(AND($F126=0,$T126&gt;=5,$W126&gt;=3),"CENSURADO",IF(AND($Y126&lt;&gt;"",$Y126&gt;=3,$T126&gt;=10),"CENSURADO",IF($T126=0,"SIN DATO","CONFIABLE")))</f>
        <v>SIN DATO</v>
      </c>
      <c r="AA126" s="24" t="str">
        <f aca="false">IF($I126=0,"",ROUND($J126/MAX($I126,0.01),2))</f>
        <v/>
      </c>
      <c r="AB126" s="24" t="str">
        <f aca="false">IF($J126&lt;=0,"",ROUND(($F126+$G126)/$J126,0))</f>
        <v/>
      </c>
      <c r="AC126" s="26" t="str">
        <f aca="false">IF($AB126="","",$J$3+$AB126)</f>
        <v/>
      </c>
      <c r="AD126" s="23" t="n">
        <v>0</v>
      </c>
      <c r="AE126" s="23" t="n">
        <v>0</v>
      </c>
      <c r="AF126" s="23" t="n">
        <v>0</v>
      </c>
      <c r="AG126" s="24" t="str">
        <f aca="false">IF($AF126=0,"",MAX(0,180-$AE126))</f>
        <v/>
      </c>
      <c r="AH126" s="27" t="n">
        <v>0</v>
      </c>
      <c r="AI126" s="28" t="str">
        <f aca="false">IF($AF126=0,"",$AF126*$Q$3-$AF126*$N$3)</f>
        <v/>
      </c>
      <c r="AJ126" s="23" t="n">
        <v>3.25</v>
      </c>
      <c r="AK126" s="28" t="n">
        <f aca="false">ROUND($F126*$AJ126,0)</f>
        <v>0</v>
      </c>
      <c r="AL126" s="25" t="str">
        <f aca="false">IF(AND($F126=0,$T126&gt;0,$O126=0),"QUIEBRE Y SIN STOCK PARA ENVIAR",IF(AND($F126=0,$T126&gt;0),"QUIEBRE",IF($F126=0,"SIN STOCK SIN DEMANDA",IF(AND($AF126&gt;0,$AG126&lt;&gt;"",OR($AB126="",$AB126&gt;$AG126)),"STOCK VIEJO EN RIESGO",IF(AND($T126=0,$H126=0),"SIN ROTACION",IF($AB126="","-",IF($AB126&lt;14,"REPONER",IF($AB126&gt;84,"SOBRE-STOCK","EN RANGO"))))))))</f>
        <v>SIN STOCK SIN DEMANDA</v>
      </c>
    </row>
    <row r="127" customFormat="false" ht="15" hidden="false" customHeight="false" outlineLevel="0" collapsed="false">
      <c r="A127" s="4" t="s">
        <v>94</v>
      </c>
      <c r="B127" s="23" t="s">
        <v>580</v>
      </c>
      <c r="C127" s="23" t="s">
        <v>581</v>
      </c>
      <c r="D127" s="23" t="s">
        <v>582</v>
      </c>
      <c r="E127" s="23" t="s">
        <v>583</v>
      </c>
      <c r="F127" s="23" t="n">
        <v>22</v>
      </c>
      <c r="G127" s="23" t="n">
        <v>0</v>
      </c>
      <c r="H127" s="23" t="n">
        <v>0</v>
      </c>
      <c r="I127" s="24" t="n">
        <f aca="false">ROUND($H127/30,2)</f>
        <v>0</v>
      </c>
      <c r="J127" s="25" t="n">
        <f aca="false">IF($Z127="CENSURADO",ROUND($T127/MAX($V127,3),2),ROUND($T127/$G$3,2))</f>
        <v>0</v>
      </c>
      <c r="K127" s="24" t="n">
        <f aca="false">ROUNDUP($J127*$C$3*7,0)</f>
        <v>0</v>
      </c>
      <c r="L127" s="24" t="n">
        <f aca="false">MAX(0,$K127-$F127-$G127)</f>
        <v>0</v>
      </c>
      <c r="M127" s="23" t="n">
        <v>0</v>
      </c>
      <c r="N127" s="23" t="n">
        <v>0</v>
      </c>
      <c r="O127" s="24" t="n">
        <f aca="false">$M127+$N127</f>
        <v>0</v>
      </c>
      <c r="P127" s="25" t="n">
        <f aca="false">MIN($L127,$O127)</f>
        <v>0</v>
      </c>
      <c r="Q127" s="23"/>
      <c r="R127" s="23" t="n">
        <v>1</v>
      </c>
      <c r="S127" s="23" t="s">
        <v>100</v>
      </c>
      <c r="T127" s="23" t="n">
        <v>0</v>
      </c>
      <c r="U127" s="23" t="n">
        <v>0</v>
      </c>
      <c r="V127" s="23" t="n">
        <v>0</v>
      </c>
      <c r="W127" s="23" t="n">
        <v>0</v>
      </c>
      <c r="X127" s="23" t="n">
        <v>22</v>
      </c>
      <c r="Y127" s="24" t="n">
        <f aca="false">IF($X127=0,"",ROUND($H127/$X127,2))</f>
        <v>0</v>
      </c>
      <c r="Z127" s="24" t="str">
        <f aca="false">IF(AND($F127=0,$T127&gt;=5,$W127&gt;=3),"CENSURADO",IF(AND($Y127&lt;&gt;"",$Y127&gt;=3,$T127&gt;=10),"CENSURADO",IF($T127=0,"SIN DATO","CONFIABLE")))</f>
        <v>SIN DATO</v>
      </c>
      <c r="AA127" s="24" t="str">
        <f aca="false">IF($I127=0,"",ROUND($J127/MAX($I127,0.01),2))</f>
        <v/>
      </c>
      <c r="AB127" s="24" t="str">
        <f aca="false">IF($J127&lt;=0,"",ROUND(($F127+$G127)/$J127,0))</f>
        <v/>
      </c>
      <c r="AC127" s="26" t="str">
        <f aca="false">IF($AB127="","",$J$3+$AB127)</f>
        <v/>
      </c>
      <c r="AD127" s="23" t="n">
        <v>0</v>
      </c>
      <c r="AE127" s="23" t="n">
        <v>0</v>
      </c>
      <c r="AF127" s="23" t="n">
        <v>0</v>
      </c>
      <c r="AG127" s="24" t="str">
        <f aca="false">IF($AF127=0,"",MAX(0,180-$AE127))</f>
        <v/>
      </c>
      <c r="AH127" s="27" t="n">
        <v>0</v>
      </c>
      <c r="AI127" s="28" t="str">
        <f aca="false">IF($AF127=0,"",$AF127*$Q$3-$AF127*$N$3)</f>
        <v/>
      </c>
      <c r="AJ127" s="23" t="n">
        <v>20.66</v>
      </c>
      <c r="AK127" s="28" t="n">
        <f aca="false">ROUND($F127*$AJ127,0)</f>
        <v>455</v>
      </c>
      <c r="AL127" s="25" t="str">
        <f aca="false">IF(AND($F127=0,$T127&gt;0,$O127=0),"QUIEBRE Y SIN STOCK PARA ENVIAR",IF(AND($F127=0,$T127&gt;0),"QUIEBRE",IF($F127=0,"SIN STOCK SIN DEMANDA",IF(AND($AF127&gt;0,$AG127&lt;&gt;"",OR($AB127="",$AB127&gt;$AG127)),"STOCK VIEJO EN RIESGO",IF(AND($T127=0,$H127=0),"SIN ROTACION",IF($AB127="","-",IF($AB127&lt;14,"REPONER",IF($AB127&gt;84,"SOBRE-STOCK","EN RANGO"))))))))</f>
        <v>SIN ROTACION</v>
      </c>
    </row>
    <row r="128" customFormat="false" ht="15" hidden="false" customHeight="false" outlineLevel="0" collapsed="false">
      <c r="A128" s="4" t="s">
        <v>94</v>
      </c>
      <c r="B128" s="23" t="s">
        <v>584</v>
      </c>
      <c r="C128" s="23" t="s">
        <v>585</v>
      </c>
      <c r="D128" s="23" t="s">
        <v>586</v>
      </c>
      <c r="E128" s="23" t="s">
        <v>587</v>
      </c>
      <c r="F128" s="23" t="n">
        <v>0</v>
      </c>
      <c r="G128" s="23" t="n">
        <v>0</v>
      </c>
      <c r="H128" s="23" t="n">
        <v>0</v>
      </c>
      <c r="I128" s="24" t="n">
        <f aca="false">ROUND($H128/30,2)</f>
        <v>0</v>
      </c>
      <c r="J128" s="25" t="n">
        <f aca="false">IF($Z128="CENSURADO",ROUND($T128/MAX($V128,3),2),ROUND($T128/$G$3,2))</f>
        <v>0</v>
      </c>
      <c r="K128" s="24" t="n">
        <f aca="false">ROUNDUP($J128*$C$3*7,0)</f>
        <v>0</v>
      </c>
      <c r="L128" s="24" t="n">
        <f aca="false">MAX(0,$K128-$F128-$G128)</f>
        <v>0</v>
      </c>
      <c r="M128" s="23" t="n">
        <v>0</v>
      </c>
      <c r="N128" s="23" t="n">
        <v>0</v>
      </c>
      <c r="O128" s="24" t="n">
        <f aca="false">$M128+$N128</f>
        <v>0</v>
      </c>
      <c r="P128" s="25" t="n">
        <f aca="false">MIN($L128,$O128)</f>
        <v>0</v>
      </c>
      <c r="Q128" s="23" t="s">
        <v>99</v>
      </c>
      <c r="R128" s="23" t="n">
        <v>1</v>
      </c>
      <c r="S128" s="23" t="s">
        <v>100</v>
      </c>
      <c r="T128" s="23" t="n">
        <v>0</v>
      </c>
      <c r="U128" s="23" t="n">
        <v>0</v>
      </c>
      <c r="V128" s="23" t="n">
        <v>0</v>
      </c>
      <c r="W128" s="23" t="n">
        <v>0</v>
      </c>
      <c r="X128" s="23" t="n">
        <v>0</v>
      </c>
      <c r="Y128" s="24" t="str">
        <f aca="false">IF($X128=0,"",ROUND($H128/$X128,2))</f>
        <v/>
      </c>
      <c r="Z128" s="24" t="str">
        <f aca="false">IF(AND($F128=0,$T128&gt;=5,$W128&gt;=3),"CENSURADO",IF(AND($Y128&lt;&gt;"",$Y128&gt;=3,$T128&gt;=10),"CENSURADO",IF($T128=0,"SIN DATO","CONFIABLE")))</f>
        <v>SIN DATO</v>
      </c>
      <c r="AA128" s="24" t="str">
        <f aca="false">IF($I128=0,"",ROUND($J128/MAX($I128,0.01),2))</f>
        <v/>
      </c>
      <c r="AB128" s="24" t="str">
        <f aca="false">IF($J128&lt;=0,"",ROUND(($F128+$G128)/$J128,0))</f>
        <v/>
      </c>
      <c r="AC128" s="26" t="str">
        <f aca="false">IF($AB128="","",$J$3+$AB128)</f>
        <v/>
      </c>
      <c r="AD128" s="23" t="n">
        <v>0</v>
      </c>
      <c r="AE128" s="23" t="n">
        <v>0</v>
      </c>
      <c r="AF128" s="23" t="n">
        <v>0</v>
      </c>
      <c r="AG128" s="24" t="str">
        <f aca="false">IF($AF128=0,"",MAX(0,180-$AE128))</f>
        <v/>
      </c>
      <c r="AH128" s="27" t="n">
        <v>0</v>
      </c>
      <c r="AI128" s="28" t="str">
        <f aca="false">IF($AF128=0,"",$AF128*$Q$3-$AF128*$N$3)</f>
        <v/>
      </c>
      <c r="AJ128" s="23" t="n">
        <v>0</v>
      </c>
      <c r="AK128" s="28" t="n">
        <f aca="false">ROUND($F128*$AJ128,0)</f>
        <v>0</v>
      </c>
      <c r="AL128" s="25" t="str">
        <f aca="false">IF(AND($F128=0,$T128&gt;0,$O128=0),"QUIEBRE Y SIN STOCK PARA ENVIAR",IF(AND($F128=0,$T128&gt;0),"QUIEBRE",IF($F128=0,"SIN STOCK SIN DEMANDA",IF(AND($AF128&gt;0,$AG128&lt;&gt;"",OR($AB128="",$AB128&gt;$AG128)),"STOCK VIEJO EN RIESGO",IF(AND($T128=0,$H128=0),"SIN ROTACION",IF($AB128="","-",IF($AB128&lt;14,"REPONER",IF($AB128&gt;84,"SOBRE-STOCK","EN RANGO"))))))))</f>
        <v>SIN STOCK SIN DEMANDA</v>
      </c>
    </row>
    <row r="129" customFormat="false" ht="15" hidden="false" customHeight="false" outlineLevel="0" collapsed="false">
      <c r="C129" s="3" t="s">
        <v>16</v>
      </c>
      <c r="F129" s="5" t="n">
        <f aca="false">SUM(F7:F128)</f>
        <v>2183</v>
      </c>
      <c r="G129" s="5" t="n">
        <f aca="false">SUM(G7:G128)</f>
        <v>1120</v>
      </c>
      <c r="H129" s="5" t="n">
        <f aca="false">SUM(H7:H128)</f>
        <v>4174</v>
      </c>
      <c r="L129" s="5" t="n">
        <f aca="false">SUM(L7:L128)</f>
        <v>2628</v>
      </c>
      <c r="M129" s="5" t="n">
        <f aca="false">SUM(M7:M128)</f>
        <v>158194</v>
      </c>
      <c r="N129" s="5" t="n">
        <f aca="false">SUM(N7:N128)</f>
        <v>28491</v>
      </c>
      <c r="O129" s="5" t="n">
        <f aca="false">SUM(O7:O128)</f>
        <v>186685</v>
      </c>
      <c r="P129" s="5" t="n">
        <f aca="false">SUM(P7:P128)</f>
        <v>1314</v>
      </c>
      <c r="AD129" s="5" t="n">
        <f aca="false">SUM(AD7:AD128)</f>
        <v>2</v>
      </c>
      <c r="AF129" s="5" t="n">
        <f aca="false">SUM(AF7:AF128)</f>
        <v>875</v>
      </c>
      <c r="AH129" s="29" t="n">
        <f aca="false">SUM(AH7:AH128)</f>
        <v>482230</v>
      </c>
      <c r="AI129" s="29" t="n">
        <f aca="false">SUM(AI7:AI128)</f>
        <v>3513125</v>
      </c>
      <c r="AK129" s="29" t="n">
        <f aca="false">SUM(AK7:AK128)</f>
        <v>14766</v>
      </c>
    </row>
  </sheetData>
  <autoFilter ref="A6:AL128"/>
  <mergeCells count="6">
    <mergeCell ref="A5:P5"/>
    <mergeCell ref="Q5:S5"/>
    <mergeCell ref="T5:AA5"/>
    <mergeCell ref="AB5:AC5"/>
    <mergeCell ref="AD5:AI5"/>
    <mergeCell ref="AJ5:AK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32"/>
    <col collapsed="false" customWidth="true" hidden="false" outlineLevel="0" max="3" min="3" style="0" width="30"/>
    <col collapsed="false" customWidth="true" hidden="false" outlineLevel="0" max="4" min="4" style="0" width="92"/>
  </cols>
  <sheetData>
    <row r="1" customFormat="false" ht="19.7" hidden="false" customHeight="false" outlineLevel="0" collapsed="false">
      <c r="A1" s="1" t="s">
        <v>588</v>
      </c>
    </row>
    <row r="2" customFormat="false" ht="15" hidden="false" customHeight="false" outlineLevel="0" collapsed="false">
      <c r="A2" s="2" t="s">
        <v>589</v>
      </c>
    </row>
    <row r="4" customFormat="false" ht="27.75" hidden="false" customHeight="true" outlineLevel="0" collapsed="false">
      <c r="A4" s="30" t="s">
        <v>590</v>
      </c>
      <c r="B4" s="30" t="s">
        <v>591</v>
      </c>
      <c r="C4" s="30" t="s">
        <v>592</v>
      </c>
      <c r="D4" s="30" t="s">
        <v>593</v>
      </c>
    </row>
    <row r="5" customFormat="false" ht="27.75" hidden="false" customHeight="true" outlineLevel="0" collapsed="false">
      <c r="A5" s="31" t="s">
        <v>52</v>
      </c>
      <c r="B5" s="32" t="s">
        <v>58</v>
      </c>
      <c r="C5" s="32" t="s">
        <v>594</v>
      </c>
      <c r="D5" s="32" t="s">
        <v>595</v>
      </c>
    </row>
    <row r="6" customFormat="false" ht="27.75" hidden="false" customHeight="true" outlineLevel="0" collapsed="false">
      <c r="A6" s="33"/>
      <c r="B6" s="33" t="s">
        <v>59</v>
      </c>
      <c r="C6" s="33" t="s">
        <v>596</v>
      </c>
      <c r="D6" s="33" t="s">
        <v>597</v>
      </c>
    </row>
    <row r="7" customFormat="false" ht="27.75" hidden="false" customHeight="true" outlineLevel="0" collapsed="false">
      <c r="A7" s="33"/>
      <c r="B7" s="33" t="s">
        <v>60</v>
      </c>
      <c r="C7" s="33" t="s">
        <v>596</v>
      </c>
      <c r="D7" s="33" t="s">
        <v>598</v>
      </c>
    </row>
    <row r="8" customFormat="false" ht="27.75" hidden="false" customHeight="true" outlineLevel="0" collapsed="false">
      <c r="A8" s="33"/>
      <c r="B8" s="33" t="s">
        <v>61</v>
      </c>
      <c r="C8" s="33" t="s">
        <v>596</v>
      </c>
      <c r="D8" s="33" t="s">
        <v>599</v>
      </c>
    </row>
    <row r="9" customFormat="false" ht="27.75" hidden="false" customHeight="true" outlineLevel="0" collapsed="false">
      <c r="A9" s="33"/>
      <c r="B9" s="33" t="s">
        <v>62</v>
      </c>
      <c r="C9" s="33" t="s">
        <v>596</v>
      </c>
      <c r="D9" s="33" t="s">
        <v>600</v>
      </c>
    </row>
    <row r="10" customFormat="false" ht="27.75" hidden="false" customHeight="true" outlineLevel="0" collapsed="false">
      <c r="A10" s="33"/>
      <c r="B10" s="33" t="s">
        <v>63</v>
      </c>
      <c r="C10" s="33" t="s">
        <v>596</v>
      </c>
      <c r="D10" s="33" t="s">
        <v>601</v>
      </c>
    </row>
    <row r="11" customFormat="false" ht="27.75" hidden="false" customHeight="true" outlineLevel="0" collapsed="false">
      <c r="A11" s="33"/>
      <c r="B11" s="33" t="s">
        <v>64</v>
      </c>
      <c r="C11" s="33" t="s">
        <v>596</v>
      </c>
      <c r="D11" s="33" t="s">
        <v>602</v>
      </c>
    </row>
    <row r="12" customFormat="false" ht="27.75" hidden="false" customHeight="true" outlineLevel="0" collapsed="false">
      <c r="A12" s="33"/>
      <c r="B12" s="33" t="s">
        <v>65</v>
      </c>
      <c r="C12" s="33" t="s">
        <v>596</v>
      </c>
      <c r="D12" s="33" t="s">
        <v>603</v>
      </c>
    </row>
    <row r="13" customFormat="false" ht="27.75" hidden="false" customHeight="true" outlineLevel="0" collapsed="false">
      <c r="A13" s="34"/>
      <c r="B13" s="34" t="s">
        <v>66</v>
      </c>
      <c r="C13" s="34" t="s">
        <v>604</v>
      </c>
      <c r="D13" s="34" t="s">
        <v>605</v>
      </c>
    </row>
    <row r="14" customFormat="false" ht="43.5" hidden="false" customHeight="true" outlineLevel="0" collapsed="false">
      <c r="A14" s="34"/>
      <c r="B14" s="34" t="s">
        <v>67</v>
      </c>
      <c r="C14" s="34" t="s">
        <v>604</v>
      </c>
      <c r="D14" s="34" t="s">
        <v>606</v>
      </c>
    </row>
    <row r="15" customFormat="false" ht="27.75" hidden="false" customHeight="true" outlineLevel="0" collapsed="false">
      <c r="A15" s="34"/>
      <c r="B15" s="34" t="s">
        <v>607</v>
      </c>
      <c r="C15" s="34" t="s">
        <v>604</v>
      </c>
      <c r="D15" s="34" t="s">
        <v>608</v>
      </c>
    </row>
    <row r="16" customFormat="false" ht="27.75" hidden="false" customHeight="true" outlineLevel="0" collapsed="false">
      <c r="A16" s="34"/>
      <c r="B16" s="34" t="s">
        <v>5</v>
      </c>
      <c r="C16" s="34" t="s">
        <v>604</v>
      </c>
      <c r="D16" s="34" t="s">
        <v>609</v>
      </c>
    </row>
    <row r="17" customFormat="false" ht="27.75" hidden="false" customHeight="true" outlineLevel="0" collapsed="false">
      <c r="A17" s="33"/>
      <c r="B17" s="33" t="s">
        <v>69</v>
      </c>
      <c r="C17" s="33" t="s">
        <v>610</v>
      </c>
      <c r="D17" s="33" t="s">
        <v>611</v>
      </c>
    </row>
    <row r="18" customFormat="false" ht="27.75" hidden="false" customHeight="true" outlineLevel="0" collapsed="false">
      <c r="A18" s="33"/>
      <c r="B18" s="33" t="s">
        <v>70</v>
      </c>
      <c r="C18" s="33" t="s">
        <v>612</v>
      </c>
      <c r="D18" s="33" t="s">
        <v>613</v>
      </c>
    </row>
    <row r="19" customFormat="false" ht="27.75" hidden="false" customHeight="true" outlineLevel="0" collapsed="false">
      <c r="A19" s="34"/>
      <c r="B19" s="34" t="s">
        <v>71</v>
      </c>
      <c r="C19" s="34" t="s">
        <v>604</v>
      </c>
      <c r="D19" s="34" t="s">
        <v>614</v>
      </c>
    </row>
    <row r="20" customFormat="false" ht="43.5" hidden="false" customHeight="true" outlineLevel="0" collapsed="false">
      <c r="A20" s="34"/>
      <c r="B20" s="34" t="s">
        <v>72</v>
      </c>
      <c r="C20" s="34" t="s">
        <v>604</v>
      </c>
      <c r="D20" s="34" t="s">
        <v>615</v>
      </c>
    </row>
    <row r="21" customFormat="false" ht="27.75" hidden="false" customHeight="true" outlineLevel="0" collapsed="false">
      <c r="A21" s="35" t="s">
        <v>53</v>
      </c>
      <c r="B21" s="33" t="s">
        <v>73</v>
      </c>
      <c r="C21" s="33" t="s">
        <v>596</v>
      </c>
      <c r="D21" s="33" t="s">
        <v>616</v>
      </c>
    </row>
    <row r="22" customFormat="false" ht="27.75" hidden="false" customHeight="true" outlineLevel="0" collapsed="false">
      <c r="A22" s="34"/>
      <c r="B22" s="34" t="s">
        <v>74</v>
      </c>
      <c r="C22" s="34" t="s">
        <v>604</v>
      </c>
      <c r="D22" s="34" t="s">
        <v>617</v>
      </c>
    </row>
    <row r="23" customFormat="false" ht="27.75" hidden="false" customHeight="true" outlineLevel="0" collapsed="false">
      <c r="A23" s="33"/>
      <c r="B23" s="33" t="s">
        <v>75</v>
      </c>
      <c r="C23" s="33" t="s">
        <v>596</v>
      </c>
      <c r="D23" s="33" t="s">
        <v>618</v>
      </c>
    </row>
    <row r="24" customFormat="false" ht="27.75" hidden="false" customHeight="true" outlineLevel="0" collapsed="false">
      <c r="A24" s="35" t="s">
        <v>54</v>
      </c>
      <c r="B24" s="33" t="s">
        <v>76</v>
      </c>
      <c r="C24" s="33" t="s">
        <v>619</v>
      </c>
      <c r="D24" s="33" t="s">
        <v>620</v>
      </c>
    </row>
    <row r="25" customFormat="false" ht="27.75" hidden="false" customHeight="true" outlineLevel="0" collapsed="false">
      <c r="A25" s="33"/>
      <c r="B25" s="33" t="s">
        <v>77</v>
      </c>
      <c r="C25" s="33" t="s">
        <v>619</v>
      </c>
      <c r="D25" s="33" t="s">
        <v>621</v>
      </c>
    </row>
    <row r="26" customFormat="false" ht="27.75" hidden="false" customHeight="true" outlineLevel="0" collapsed="false">
      <c r="A26" s="33"/>
      <c r="B26" s="33" t="s">
        <v>78</v>
      </c>
      <c r="C26" s="33" t="s">
        <v>619</v>
      </c>
      <c r="D26" s="33" t="s">
        <v>622</v>
      </c>
    </row>
    <row r="27" customFormat="false" ht="27.75" hidden="false" customHeight="true" outlineLevel="0" collapsed="false">
      <c r="A27" s="33"/>
      <c r="B27" s="33" t="s">
        <v>79</v>
      </c>
      <c r="C27" s="33" t="s">
        <v>619</v>
      </c>
      <c r="D27" s="33" t="s">
        <v>623</v>
      </c>
    </row>
    <row r="28" customFormat="false" ht="27.75" hidden="false" customHeight="true" outlineLevel="0" collapsed="false">
      <c r="A28" s="33"/>
      <c r="B28" s="33" t="s">
        <v>80</v>
      </c>
      <c r="C28" s="33" t="s">
        <v>596</v>
      </c>
      <c r="D28" s="33" t="s">
        <v>624</v>
      </c>
    </row>
    <row r="29" customFormat="false" ht="27.75" hidden="false" customHeight="true" outlineLevel="0" collapsed="false">
      <c r="A29" s="34"/>
      <c r="B29" s="34" t="s">
        <v>81</v>
      </c>
      <c r="C29" s="34" t="s">
        <v>604</v>
      </c>
      <c r="D29" s="34" t="s">
        <v>625</v>
      </c>
    </row>
    <row r="30" customFormat="false" ht="43.5" hidden="false" customHeight="true" outlineLevel="0" collapsed="false">
      <c r="A30" s="34"/>
      <c r="B30" s="34" t="s">
        <v>82</v>
      </c>
      <c r="C30" s="34" t="s">
        <v>604</v>
      </c>
      <c r="D30" s="34" t="s">
        <v>626</v>
      </c>
    </row>
    <row r="31" customFormat="false" ht="43.5" hidden="false" customHeight="true" outlineLevel="0" collapsed="false">
      <c r="A31" s="34"/>
      <c r="B31" s="34" t="s">
        <v>83</v>
      </c>
      <c r="C31" s="34" t="s">
        <v>604</v>
      </c>
      <c r="D31" s="34" t="s">
        <v>627</v>
      </c>
    </row>
    <row r="32" customFormat="false" ht="27.75" hidden="false" customHeight="true" outlineLevel="0" collapsed="false">
      <c r="A32" s="36" t="s">
        <v>55</v>
      </c>
      <c r="B32" s="34" t="s">
        <v>84</v>
      </c>
      <c r="C32" s="34" t="s">
        <v>604</v>
      </c>
      <c r="D32" s="34" t="s">
        <v>628</v>
      </c>
    </row>
    <row r="33" customFormat="false" ht="27.75" hidden="false" customHeight="true" outlineLevel="0" collapsed="false">
      <c r="A33" s="34"/>
      <c r="B33" s="34" t="s">
        <v>85</v>
      </c>
      <c r="C33" s="34" t="s">
        <v>604</v>
      </c>
      <c r="D33" s="34" t="s">
        <v>629</v>
      </c>
    </row>
    <row r="34" customFormat="false" ht="27.75" hidden="false" customHeight="true" outlineLevel="0" collapsed="false">
      <c r="A34" s="35" t="s">
        <v>56</v>
      </c>
      <c r="B34" s="33" t="s">
        <v>86</v>
      </c>
      <c r="C34" s="33" t="s">
        <v>596</v>
      </c>
      <c r="D34" s="33" t="s">
        <v>630</v>
      </c>
    </row>
    <row r="35" customFormat="false" ht="27.75" hidden="false" customHeight="true" outlineLevel="0" collapsed="false">
      <c r="A35" s="33"/>
      <c r="B35" s="33" t="s">
        <v>87</v>
      </c>
      <c r="C35" s="33" t="s">
        <v>631</v>
      </c>
      <c r="D35" s="33" t="s">
        <v>632</v>
      </c>
    </row>
    <row r="36" customFormat="false" ht="27.75" hidden="false" customHeight="true" outlineLevel="0" collapsed="false">
      <c r="A36" s="33"/>
      <c r="B36" s="33" t="s">
        <v>88</v>
      </c>
      <c r="C36" s="33" t="s">
        <v>631</v>
      </c>
      <c r="D36" s="33" t="s">
        <v>633</v>
      </c>
    </row>
    <row r="37" customFormat="false" ht="27.75" hidden="false" customHeight="true" outlineLevel="0" collapsed="false">
      <c r="A37" s="34"/>
      <c r="B37" s="34" t="s">
        <v>89</v>
      </c>
      <c r="C37" s="34" t="s">
        <v>604</v>
      </c>
      <c r="D37" s="34" t="s">
        <v>634</v>
      </c>
    </row>
    <row r="38" customFormat="false" ht="27.75" hidden="false" customHeight="true" outlineLevel="0" collapsed="false">
      <c r="A38" s="33"/>
      <c r="B38" s="33" t="s">
        <v>90</v>
      </c>
      <c r="C38" s="33" t="s">
        <v>631</v>
      </c>
      <c r="D38" s="33" t="s">
        <v>635</v>
      </c>
    </row>
    <row r="39" customFormat="false" ht="27.75" hidden="false" customHeight="true" outlineLevel="0" collapsed="false">
      <c r="A39" s="34"/>
      <c r="B39" s="34" t="s">
        <v>91</v>
      </c>
      <c r="C39" s="34" t="s">
        <v>604</v>
      </c>
      <c r="D39" s="34" t="s">
        <v>636</v>
      </c>
    </row>
    <row r="40" customFormat="false" ht="27.75" hidden="false" customHeight="true" outlineLevel="0" collapsed="false">
      <c r="A40" s="35" t="s">
        <v>41</v>
      </c>
      <c r="B40" s="33" t="s">
        <v>92</v>
      </c>
      <c r="C40" s="33" t="s">
        <v>612</v>
      </c>
      <c r="D40" s="33" t="s">
        <v>637</v>
      </c>
    </row>
    <row r="41" customFormat="false" ht="27.75" hidden="false" customHeight="true" outlineLevel="0" collapsed="false">
      <c r="A41" s="34"/>
      <c r="B41" s="34" t="s">
        <v>93</v>
      </c>
      <c r="C41" s="34" t="s">
        <v>604</v>
      </c>
      <c r="D41" s="34" t="s">
        <v>638</v>
      </c>
    </row>
    <row r="42" customFormat="false" ht="27.75" hidden="false" customHeight="true" outlineLevel="0" collapsed="false">
      <c r="A42" s="36" t="s">
        <v>57</v>
      </c>
      <c r="B42" s="34" t="s">
        <v>2</v>
      </c>
      <c r="C42" s="34" t="s">
        <v>604</v>
      </c>
      <c r="D42" s="34" t="s">
        <v>639</v>
      </c>
    </row>
    <row r="43" customFormat="false" ht="15" hidden="false" customHeight="false" outlineLevel="0" collapsed="false">
      <c r="A43" s="32"/>
      <c r="B43" s="32"/>
      <c r="C43" s="32"/>
      <c r="D43" s="32"/>
    </row>
    <row r="44" customFormat="false" ht="23.85" hidden="false" customHeight="false" outlineLevel="0" collapsed="false">
      <c r="A44" s="31" t="s">
        <v>640</v>
      </c>
      <c r="B44" s="32"/>
      <c r="C44" s="32"/>
      <c r="D44" s="32"/>
    </row>
    <row r="45" customFormat="false" ht="43.5" hidden="false" customHeight="true" outlineLevel="0" collapsed="false">
      <c r="A45" s="32"/>
      <c r="B45" s="32" t="s">
        <v>7</v>
      </c>
      <c r="C45" s="32"/>
      <c r="D45" s="32" t="s">
        <v>641</v>
      </c>
    </row>
    <row r="46" customFormat="false" ht="27.75" hidden="false" customHeight="true" outlineLevel="0" collapsed="false">
      <c r="A46" s="32"/>
      <c r="B46" s="32" t="s">
        <v>8</v>
      </c>
      <c r="C46" s="32"/>
      <c r="D46" s="32" t="s">
        <v>642</v>
      </c>
    </row>
    <row r="47" customFormat="false" ht="27.75" hidden="false" customHeight="true" outlineLevel="0" collapsed="false">
      <c r="A47" s="32"/>
      <c r="B47" s="32" t="s">
        <v>9</v>
      </c>
      <c r="C47" s="32"/>
      <c r="D47" s="32" t="s">
        <v>643</v>
      </c>
    </row>
    <row r="48" customFormat="false" ht="27.75" hidden="false" customHeight="true" outlineLevel="0" collapsed="false">
      <c r="A48" s="32"/>
      <c r="B48" s="32" t="s">
        <v>10</v>
      </c>
      <c r="C48" s="32"/>
      <c r="D48" s="32" t="s">
        <v>644</v>
      </c>
    </row>
    <row r="49" customFormat="false" ht="27.75" hidden="false" customHeight="true" outlineLevel="0" collapsed="false">
      <c r="A49" s="32"/>
      <c r="B49" s="32" t="s">
        <v>11</v>
      </c>
      <c r="C49" s="32"/>
      <c r="D49" s="32" t="s">
        <v>645</v>
      </c>
    </row>
    <row r="50" customFormat="false" ht="27.75" hidden="false" customHeight="true" outlineLevel="0" collapsed="false">
      <c r="A50" s="32"/>
      <c r="B50" s="32" t="s">
        <v>12</v>
      </c>
      <c r="C50" s="32"/>
      <c r="D50" s="32" t="s">
        <v>646</v>
      </c>
    </row>
    <row r="51" customFormat="false" ht="27.75" hidden="false" customHeight="true" outlineLevel="0" collapsed="false">
      <c r="A51" s="32"/>
      <c r="B51" s="32" t="s">
        <v>13</v>
      </c>
      <c r="C51" s="32"/>
      <c r="D51" s="32" t="s">
        <v>647</v>
      </c>
    </row>
    <row r="52" customFormat="false" ht="27.75" hidden="false" customHeight="true" outlineLevel="0" collapsed="false">
      <c r="A52" s="32"/>
      <c r="B52" s="32" t="s">
        <v>14</v>
      </c>
      <c r="C52" s="32"/>
      <c r="D52" s="32" t="s">
        <v>648</v>
      </c>
    </row>
    <row r="53" customFormat="false" ht="15" hidden="false" customHeight="false" outlineLevel="0" collapsed="false">
      <c r="A53" s="32"/>
      <c r="B53" s="32"/>
      <c r="C53" s="32"/>
      <c r="D53" s="32"/>
    </row>
    <row r="54" customFormat="false" ht="23.85" hidden="false" customHeight="false" outlineLevel="0" collapsed="false">
      <c r="A54" s="31" t="s">
        <v>649</v>
      </c>
      <c r="B54" s="32"/>
      <c r="C54" s="32"/>
      <c r="D54" s="32"/>
    </row>
    <row r="55" customFormat="false" ht="43.5" hidden="false" customHeight="true" outlineLevel="0" collapsed="false">
      <c r="A55" s="32"/>
      <c r="B55" s="32" t="s">
        <v>650</v>
      </c>
      <c r="C55" s="32"/>
      <c r="D55" s="32" t="s">
        <v>651</v>
      </c>
    </row>
    <row r="56" customFormat="false" ht="43.5" hidden="false" customHeight="true" outlineLevel="0" collapsed="false">
      <c r="A56" s="32"/>
      <c r="B56" s="32" t="s">
        <v>652</v>
      </c>
      <c r="C56" s="32"/>
      <c r="D56" s="32" t="s">
        <v>653</v>
      </c>
    </row>
    <row r="57" customFormat="false" ht="43.5" hidden="false" customHeight="true" outlineLevel="0" collapsed="false">
      <c r="A57" s="32"/>
      <c r="B57" s="32" t="s">
        <v>654</v>
      </c>
      <c r="C57" s="32"/>
      <c r="D57" s="32" t="s">
        <v>655</v>
      </c>
    </row>
    <row r="58" customFormat="false" ht="43.5" hidden="false" customHeight="true" outlineLevel="0" collapsed="false">
      <c r="A58" s="32"/>
      <c r="B58" s="32" t="s">
        <v>656</v>
      </c>
      <c r="C58" s="32"/>
      <c r="D58" s="32" t="s">
        <v>657</v>
      </c>
    </row>
    <row r="59" customFormat="false" ht="27.75" hidden="false" customHeight="true" outlineLevel="0" collapsed="false">
      <c r="A59" s="32"/>
      <c r="B59" s="32" t="s">
        <v>658</v>
      </c>
      <c r="C59" s="32"/>
      <c r="D59" s="32" t="s">
        <v>659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2026-08-11T17:18:28Z</dcterms:created>
  <dc:creator>openpyxl</dc:creator>
  <dc:description/>
  <dc:language>en-US</dc:language>
  <cp:lastModifiedBy/>
  <dcterms:modified xsi:type="dcterms:W3CDTF">2026-08-11T17:18:29Z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